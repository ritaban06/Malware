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macrosheets/intlsheet2.xml" ContentType="application/vnd.ms-excel.intlmacrosheet+xml"/>
  <Override PartName="/xl/macrosheets/intlsheet3.xml" ContentType="application/vnd.ms-excel.intlmacrosheet+xml"/>
  <Override PartName="/xl/macrosheets/intlsheet4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ЭтаКнига" defaultThemeVersion="124226"/>
  <bookViews>
    <workbookView xWindow="240" yWindow="105" windowWidth="14805" windowHeight="8010"/>
  </bookViews>
  <sheets>
    <sheet name="Doc1" sheetId="8" r:id="rId1"/>
    <sheet name="Doc2" sheetId="4" r:id="rId2"/>
    <sheet name="Doc3" sheetId="12" r:id="rId3"/>
    <sheet name="Doc4" sheetId="10" r:id="rId4"/>
    <sheet name="Doc5" sheetId="11" r:id="rId5"/>
  </sheets>
  <definedNames>
    <definedName name="_xlnm.Auto_Open">'Doc2'!$AO$101</definedName>
  </definedNames>
  <calcPr calcId="122211"/>
</workbook>
</file>

<file path=xl/sharedStrings.xml><?xml version="1.0" encoding="utf-8"?>
<sst xmlns="http://schemas.openxmlformats.org/spreadsheetml/2006/main" count="28" uniqueCount="25">
  <si>
    <t>JJ</t>
  </si>
  <si>
    <t>URLDow</t>
  </si>
  <si>
    <t>CC</t>
  </si>
  <si>
    <t>nload</t>
  </si>
  <si>
    <t>BB</t>
  </si>
  <si>
    <t>To</t>
  </si>
  <si>
    <t>Fil</t>
  </si>
  <si>
    <t>=</t>
  </si>
  <si>
    <t>URL</t>
  </si>
  <si>
    <t>M</t>
  </si>
  <si>
    <t>")</t>
  </si>
  <si>
    <t>E</t>
  </si>
  <si>
    <t>("</t>
  </si>
  <si>
    <t>X</t>
  </si>
  <si>
    <t>r</t>
  </si>
  <si>
    <t>"</t>
  </si>
  <si>
    <t>e</t>
  </si>
  <si>
    <t>&amp;</t>
  </si>
  <si>
    <t>C</t>
  </si>
  <si>
    <t>g</t>
  </si>
  <si>
    <t>)</t>
  </si>
  <si>
    <t>s</t>
  </si>
  <si>
    <t>,</t>
  </si>
  <si>
    <t>vr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</si>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</sst>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8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1" fillId="2" borderId="0" xfId="1" applyFill="1"/>
    <xf numFmtId="0" fontId="4" fillId="2" borderId="0" xfId="2" applyFill="1"/>
  </cellXfs>
  <cellStyles count="3">
    <cellStyle name="Обычный" xfId="0" builtinId="0"/>
    <cellStyle name="Обычный 2 2" xfId="2"/>
    <cellStyle name="Обычный 3 2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6/relationships/xlIntlMacrosheet" Target="macrosheets/intlsheet2.xml"/><Relationship Id="rId7" Type="http://schemas.openxmlformats.org/officeDocument/2006/relationships/styles" Target="styles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4.xml"/><Relationship Id="rId4" Type="http://schemas.microsoft.com/office/2006/relationships/xlIntlMacrosheet" Target="macrosheets/intl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5</xdr:row>
      <xdr:rowOff>19050</xdr:rowOff>
    </xdr:from>
    <xdr:to>
      <xdr:col>13</xdr:col>
      <xdr:colOff>161925</xdr:colOff>
      <xdr:row>24</xdr:row>
      <xdr:rowOff>9525</xdr:rowOff>
    </xdr:to>
    <xdr:sp macro="" textlink="">
      <xdr:nvSpPr>
        <xdr:cNvPr id="2" name="TextBox 98">
          <a:extLst>
            <a:ext uri="{FF2B5EF4-FFF2-40B4-BE49-F238E27FC236}">
              <a16:creationId xmlns:a16="http://schemas.microsoft.com/office/drawing/2014/main" xmlns="" id="{E1F444A6-B3A8-4EBE-96E0-EBACEA9FB385}"/>
            </a:ext>
          </a:extLst>
        </xdr:cNvPr>
        <xdr:cNvSpPr txBox="1">
          <a:spLocks noChangeArrowheads="1"/>
        </xdr:cNvSpPr>
      </xdr:nvSpPr>
      <xdr:spPr bwMode="auto">
        <a:xfrm>
          <a:off x="885825" y="971550"/>
          <a:ext cx="7200900" cy="3609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solid"/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PERFORM  THE  FOLLOWING  STEPS  TO  PERFORM  DECRYPTION</a:t>
          </a: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</a:t>
          </a: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             </a:t>
          </a: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</a:t>
          </a:r>
        </a:p>
        <a:p>
          <a:pPr algn="l" rtl="0">
            <a:defRPr sz="1000"/>
          </a:pPr>
          <a:endParaRPr lang="ru-RU" sz="18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8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8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WHY   I   CANNOT   OPEN   THIS    DOCUMENT ?</a:t>
          </a:r>
        </a:p>
        <a:p>
          <a:pPr algn="l" rtl="0">
            <a:defRPr sz="1000"/>
          </a:pPr>
          <a:endParaRPr lang="ru-RU" sz="18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r>
            <a:rPr lang="ru-RU" sz="18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You are using iOS or Android, please use Desktop PC</a:t>
          </a:r>
        </a:p>
        <a:p>
          <a:pPr algn="l" rtl="0">
            <a:defRPr sz="1000"/>
          </a:pP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                                                 </a:t>
          </a:r>
        </a:p>
        <a:p>
          <a:pPr algn="l" rtl="0">
            <a:defRPr sz="1000"/>
          </a:pPr>
          <a:r>
            <a:rPr lang="ru-RU" sz="1100" b="0" i="0" u="none" strike="noStrike" baseline="0">
              <a:solidFill>
                <a:srgbClr val="333333"/>
              </a:solidFill>
              <a:latin typeface="Calibri"/>
              <a:cs typeface="Calibri"/>
            </a:rPr>
            <a:t>            </a:t>
          </a:r>
          <a:r>
            <a:rPr lang="ru-RU" sz="1400" b="0" i="0" u="none" strike="noStrike" baseline="0">
              <a:solidFill>
                <a:srgbClr val="333333"/>
              </a:solidFill>
              <a:latin typeface="Calibri"/>
              <a:cs typeface="Calibri"/>
            </a:rPr>
            <a:t>You are trying to view this document using Online Viewer</a:t>
          </a: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  <a:p>
          <a:pPr algn="l" rtl="0">
            <a:defRPr sz="1000"/>
          </a:pPr>
          <a:endParaRPr lang="ru-RU" sz="1400" b="0" i="0" u="none" strike="noStrike" baseline="0">
            <a:solidFill>
              <a:srgbClr val="333333"/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0</xdr:col>
      <xdr:colOff>28575</xdr:colOff>
      <xdr:row>0</xdr:row>
      <xdr:rowOff>19050</xdr:rowOff>
    </xdr:from>
    <xdr:to>
      <xdr:col>0</xdr:col>
      <xdr:colOff>123825</xdr:colOff>
      <xdr:row>0</xdr:row>
      <xdr:rowOff>95250</xdr:rowOff>
    </xdr:to>
    <xdr:sp macro="" textlink="">
      <xdr:nvSpPr>
        <xdr:cNvPr id="3" name="Рисунок 2">
          <a:extLst>
            <a:ext uri="{FF2B5EF4-FFF2-40B4-BE49-F238E27FC236}">
              <a16:creationId xmlns:a16="http://schemas.microsoft.com/office/drawing/2014/main" xmlns="" id="{B3360884-63A3-4CE3-BB60-65F14F757669}"/>
            </a:ext>
          </a:extLst>
        </xdr:cNvPr>
        <xdr:cNvSpPr>
          <a:spLocks noChangeArrowheads="1"/>
        </xdr:cNvSpPr>
      </xdr:nvSpPr>
      <xdr:spPr bwMode="auto">
        <a:xfrm>
          <a:off x="28575" y="19050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" name="Рисунок 2">
          <a:extLst>
            <a:ext uri="{FF2B5EF4-FFF2-40B4-BE49-F238E27FC236}">
              <a16:creationId xmlns:a16="http://schemas.microsoft.com/office/drawing/2014/main" xmlns="" id="{F3192FE0-FDB8-44EB-8815-B10FA2376C33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5" name="Рисунок 2">
          <a:extLst>
            <a:ext uri="{FF2B5EF4-FFF2-40B4-BE49-F238E27FC236}">
              <a16:creationId xmlns:a16="http://schemas.microsoft.com/office/drawing/2014/main" xmlns="" id="{A26E4EC3-B278-44D0-B85F-FA0CD74A424B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6" name="Рисунок 2">
          <a:extLst>
            <a:ext uri="{FF2B5EF4-FFF2-40B4-BE49-F238E27FC236}">
              <a16:creationId xmlns:a16="http://schemas.microsoft.com/office/drawing/2014/main" xmlns="" id="{DB2CFFA3-4CDB-448D-8091-A230F1CD4F50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7" name="Рисунок 2">
          <a:extLst>
            <a:ext uri="{FF2B5EF4-FFF2-40B4-BE49-F238E27FC236}">
              <a16:creationId xmlns:a16="http://schemas.microsoft.com/office/drawing/2014/main" xmlns="" id="{D7FC5C1A-EAEC-4483-BA5C-87452F4C76BC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8" name="Рисунок 2">
          <a:extLst>
            <a:ext uri="{FF2B5EF4-FFF2-40B4-BE49-F238E27FC236}">
              <a16:creationId xmlns:a16="http://schemas.microsoft.com/office/drawing/2014/main" xmlns="" id="{39DC4A53-5290-440D-A5B5-74C6B8123D6E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9" name="Рисунок 2">
          <a:extLst>
            <a:ext uri="{FF2B5EF4-FFF2-40B4-BE49-F238E27FC236}">
              <a16:creationId xmlns:a16="http://schemas.microsoft.com/office/drawing/2014/main" xmlns="" id="{C56A8266-6C7E-49B5-80ED-E6FA3F127FDC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0" name="Рисунок 2">
          <a:extLst>
            <a:ext uri="{FF2B5EF4-FFF2-40B4-BE49-F238E27FC236}">
              <a16:creationId xmlns:a16="http://schemas.microsoft.com/office/drawing/2014/main" xmlns="" id="{4EA36CEC-8862-459D-AD1E-FC97D0DC269F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1" name="Рисунок 2">
          <a:extLst>
            <a:ext uri="{FF2B5EF4-FFF2-40B4-BE49-F238E27FC236}">
              <a16:creationId xmlns:a16="http://schemas.microsoft.com/office/drawing/2014/main" xmlns="" id="{A88F9499-9217-4552-99C9-9BACF69E2802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2" name="Рисунок 2">
          <a:extLst>
            <a:ext uri="{FF2B5EF4-FFF2-40B4-BE49-F238E27FC236}">
              <a16:creationId xmlns:a16="http://schemas.microsoft.com/office/drawing/2014/main" xmlns="" id="{2125691A-BF5A-4AA1-A568-31E4D72FA20E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3" name="Рисунок 2">
          <a:extLst>
            <a:ext uri="{FF2B5EF4-FFF2-40B4-BE49-F238E27FC236}">
              <a16:creationId xmlns:a16="http://schemas.microsoft.com/office/drawing/2014/main" xmlns="" id="{C9EBE71B-B72C-4908-8B7B-01B6AD290491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4" name="Рисунок 2">
          <a:extLst>
            <a:ext uri="{FF2B5EF4-FFF2-40B4-BE49-F238E27FC236}">
              <a16:creationId xmlns:a16="http://schemas.microsoft.com/office/drawing/2014/main" xmlns="" id="{B7A2DE1A-D758-4619-9416-91894E3DB7F3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5" name="Рисунок 2">
          <a:extLst>
            <a:ext uri="{FF2B5EF4-FFF2-40B4-BE49-F238E27FC236}">
              <a16:creationId xmlns:a16="http://schemas.microsoft.com/office/drawing/2014/main" xmlns="" id="{060949B1-9318-4B0C-8026-3C8590F69736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6" name="Рисунок 2">
          <a:extLst>
            <a:ext uri="{FF2B5EF4-FFF2-40B4-BE49-F238E27FC236}">
              <a16:creationId xmlns:a16="http://schemas.microsoft.com/office/drawing/2014/main" xmlns="" id="{11FB9AEB-6E57-4359-A5AC-15EF9357D346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7" name="Рисунок 2">
          <a:extLst>
            <a:ext uri="{FF2B5EF4-FFF2-40B4-BE49-F238E27FC236}">
              <a16:creationId xmlns:a16="http://schemas.microsoft.com/office/drawing/2014/main" xmlns="" id="{781FED4B-53EF-4F46-A4BB-C52A8EE8F987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8" name="Рисунок 2">
          <a:extLst>
            <a:ext uri="{FF2B5EF4-FFF2-40B4-BE49-F238E27FC236}">
              <a16:creationId xmlns:a16="http://schemas.microsoft.com/office/drawing/2014/main" xmlns="" id="{4039C656-5CFE-4266-B543-D3FFFC0BFAB9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9" name="Рисунок 2">
          <a:extLst>
            <a:ext uri="{FF2B5EF4-FFF2-40B4-BE49-F238E27FC236}">
              <a16:creationId xmlns:a16="http://schemas.microsoft.com/office/drawing/2014/main" xmlns="" id="{492CAEAF-FA11-45B9-B314-DC872EA2C708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0" name="Рисунок 2">
          <a:extLst>
            <a:ext uri="{FF2B5EF4-FFF2-40B4-BE49-F238E27FC236}">
              <a16:creationId xmlns:a16="http://schemas.microsoft.com/office/drawing/2014/main" xmlns="" id="{2133A552-CB67-4744-AE45-447109B55F4B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1" name="Рисунок 2">
          <a:extLst>
            <a:ext uri="{FF2B5EF4-FFF2-40B4-BE49-F238E27FC236}">
              <a16:creationId xmlns:a16="http://schemas.microsoft.com/office/drawing/2014/main" xmlns="" id="{78C253E2-9471-468C-A8D2-7584B5ACEACE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2" name="Рисунок 2">
          <a:extLst>
            <a:ext uri="{FF2B5EF4-FFF2-40B4-BE49-F238E27FC236}">
              <a16:creationId xmlns:a16="http://schemas.microsoft.com/office/drawing/2014/main" xmlns="" id="{7ACAD611-B1EE-4E27-AABA-3A5197AF09DA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3" name="Рисунок 2">
          <a:extLst>
            <a:ext uri="{FF2B5EF4-FFF2-40B4-BE49-F238E27FC236}">
              <a16:creationId xmlns:a16="http://schemas.microsoft.com/office/drawing/2014/main" xmlns="" id="{3D6AEFEA-60A4-4745-BD51-272179CC10CF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4" name="Рисунок 2">
          <a:extLst>
            <a:ext uri="{FF2B5EF4-FFF2-40B4-BE49-F238E27FC236}">
              <a16:creationId xmlns:a16="http://schemas.microsoft.com/office/drawing/2014/main" xmlns="" id="{73F89276-1E7A-4833-A5B4-FA27A417A179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5" name="Рисунок 2">
          <a:extLst>
            <a:ext uri="{FF2B5EF4-FFF2-40B4-BE49-F238E27FC236}">
              <a16:creationId xmlns:a16="http://schemas.microsoft.com/office/drawing/2014/main" xmlns="" id="{D284910A-7408-4AB8-904C-1135BD96BBA9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6" name="Рисунок 2">
          <a:extLst>
            <a:ext uri="{FF2B5EF4-FFF2-40B4-BE49-F238E27FC236}">
              <a16:creationId xmlns:a16="http://schemas.microsoft.com/office/drawing/2014/main" xmlns="" id="{D64FB768-535E-48BE-B002-B33E72F65968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7" name="Рисунок 2">
          <a:extLst>
            <a:ext uri="{FF2B5EF4-FFF2-40B4-BE49-F238E27FC236}">
              <a16:creationId xmlns:a16="http://schemas.microsoft.com/office/drawing/2014/main" xmlns="" id="{AFC4DF83-D726-4D1B-B492-6F53FC90A045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8" name="Рисунок 2">
          <a:extLst>
            <a:ext uri="{FF2B5EF4-FFF2-40B4-BE49-F238E27FC236}">
              <a16:creationId xmlns:a16="http://schemas.microsoft.com/office/drawing/2014/main" xmlns="" id="{4BD9D6EE-A784-4422-A008-60267BE05931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9" name="Рисунок 2">
          <a:extLst>
            <a:ext uri="{FF2B5EF4-FFF2-40B4-BE49-F238E27FC236}">
              <a16:creationId xmlns:a16="http://schemas.microsoft.com/office/drawing/2014/main" xmlns="" id="{F9D6C287-8E9E-4B55-9E06-E58E70D403EA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0" name="Рисунок 2">
          <a:extLst>
            <a:ext uri="{FF2B5EF4-FFF2-40B4-BE49-F238E27FC236}">
              <a16:creationId xmlns:a16="http://schemas.microsoft.com/office/drawing/2014/main" xmlns="" id="{D1ECDED4-ADB8-4917-AB79-F8864A768935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1" name="Рисунок 2">
          <a:extLst>
            <a:ext uri="{FF2B5EF4-FFF2-40B4-BE49-F238E27FC236}">
              <a16:creationId xmlns:a16="http://schemas.microsoft.com/office/drawing/2014/main" xmlns="" id="{60F56776-1A39-4EAF-87BD-69082C396B67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2" name="Рисунок 2">
          <a:extLst>
            <a:ext uri="{FF2B5EF4-FFF2-40B4-BE49-F238E27FC236}">
              <a16:creationId xmlns:a16="http://schemas.microsoft.com/office/drawing/2014/main" xmlns="" id="{E95C825E-E637-4947-8406-CEDC1A0B3698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3" name="Рисунок 2">
          <a:extLst>
            <a:ext uri="{FF2B5EF4-FFF2-40B4-BE49-F238E27FC236}">
              <a16:creationId xmlns:a16="http://schemas.microsoft.com/office/drawing/2014/main" xmlns="" id="{E6FCB764-C5F7-4232-90C9-60BBD6D4445B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4" name="Рисунок 2">
          <a:extLst>
            <a:ext uri="{FF2B5EF4-FFF2-40B4-BE49-F238E27FC236}">
              <a16:creationId xmlns:a16="http://schemas.microsoft.com/office/drawing/2014/main" xmlns="" id="{66F7E766-204A-40A5-B43D-FAF566D1FF5B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5" name="Рисунок 2">
          <a:extLst>
            <a:ext uri="{FF2B5EF4-FFF2-40B4-BE49-F238E27FC236}">
              <a16:creationId xmlns:a16="http://schemas.microsoft.com/office/drawing/2014/main" xmlns="" id="{4669C336-675B-4244-8606-687A0A2E0EBE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6" name="Рисунок 2">
          <a:extLst>
            <a:ext uri="{FF2B5EF4-FFF2-40B4-BE49-F238E27FC236}">
              <a16:creationId xmlns:a16="http://schemas.microsoft.com/office/drawing/2014/main" xmlns="" id="{A275E1F0-A5F0-4647-A7BD-AFEA5E54252F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7" name="Рисунок 2">
          <a:extLst>
            <a:ext uri="{FF2B5EF4-FFF2-40B4-BE49-F238E27FC236}">
              <a16:creationId xmlns:a16="http://schemas.microsoft.com/office/drawing/2014/main" xmlns="" id="{39E46386-C8BB-4303-9CF5-CA8AA03F22A4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8" name="Рисунок 2">
          <a:extLst>
            <a:ext uri="{FF2B5EF4-FFF2-40B4-BE49-F238E27FC236}">
              <a16:creationId xmlns:a16="http://schemas.microsoft.com/office/drawing/2014/main" xmlns="" id="{991CFE8B-7C8B-4335-83BB-58A6480CA7EB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9" name="Рисунок 2">
          <a:extLst>
            <a:ext uri="{FF2B5EF4-FFF2-40B4-BE49-F238E27FC236}">
              <a16:creationId xmlns:a16="http://schemas.microsoft.com/office/drawing/2014/main" xmlns="" id="{F03DB550-81C5-4ED4-B2A4-EC4D1D789A42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0" name="Рисунок 2">
          <a:extLst>
            <a:ext uri="{FF2B5EF4-FFF2-40B4-BE49-F238E27FC236}">
              <a16:creationId xmlns:a16="http://schemas.microsoft.com/office/drawing/2014/main" xmlns="" id="{C4424A7E-8340-4D08-A944-E57BC801812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1" name="Рисунок 2">
          <a:extLst>
            <a:ext uri="{FF2B5EF4-FFF2-40B4-BE49-F238E27FC236}">
              <a16:creationId xmlns:a16="http://schemas.microsoft.com/office/drawing/2014/main" xmlns="" id="{BDC83E70-875A-49A1-A639-1960BDEA6D92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2" name="Рисунок 2">
          <a:extLst>
            <a:ext uri="{FF2B5EF4-FFF2-40B4-BE49-F238E27FC236}">
              <a16:creationId xmlns:a16="http://schemas.microsoft.com/office/drawing/2014/main" xmlns="" id="{267DDED3-B370-4BF9-909F-54C2813D7E2D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3" name="Рисунок 2">
          <a:extLst>
            <a:ext uri="{FF2B5EF4-FFF2-40B4-BE49-F238E27FC236}">
              <a16:creationId xmlns:a16="http://schemas.microsoft.com/office/drawing/2014/main" xmlns="" id="{587E3050-F258-41F2-BC52-E10B7D014357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4" name="Рисунок 2">
          <a:extLst>
            <a:ext uri="{FF2B5EF4-FFF2-40B4-BE49-F238E27FC236}">
              <a16:creationId xmlns:a16="http://schemas.microsoft.com/office/drawing/2014/main" xmlns="" id="{869A09A7-D95A-4EA5-A7F0-53C400023105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5" name="Рисунок 2">
          <a:extLst>
            <a:ext uri="{FF2B5EF4-FFF2-40B4-BE49-F238E27FC236}">
              <a16:creationId xmlns:a16="http://schemas.microsoft.com/office/drawing/2014/main" xmlns="" id="{CB7CB425-CBBB-4AB0-9D31-520A80F52B1E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6" name="Рисунок 2">
          <a:extLst>
            <a:ext uri="{FF2B5EF4-FFF2-40B4-BE49-F238E27FC236}">
              <a16:creationId xmlns:a16="http://schemas.microsoft.com/office/drawing/2014/main" xmlns="" id="{20F14237-777A-4914-A79F-4A0A0ACEE549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7" name="Рисунок 2">
          <a:extLst>
            <a:ext uri="{FF2B5EF4-FFF2-40B4-BE49-F238E27FC236}">
              <a16:creationId xmlns:a16="http://schemas.microsoft.com/office/drawing/2014/main" xmlns="" id="{1C8B8C3D-3034-4FB0-AE82-696BEC4871F9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8" name="Рисунок 2">
          <a:extLst>
            <a:ext uri="{FF2B5EF4-FFF2-40B4-BE49-F238E27FC236}">
              <a16:creationId xmlns:a16="http://schemas.microsoft.com/office/drawing/2014/main" xmlns="" id="{CDECFC42-2AE3-4319-B69C-FE140362A516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9" name="Рисунок 2">
          <a:extLst>
            <a:ext uri="{FF2B5EF4-FFF2-40B4-BE49-F238E27FC236}">
              <a16:creationId xmlns:a16="http://schemas.microsoft.com/office/drawing/2014/main" xmlns="" id="{39AB0CD9-3FE4-4210-92C7-2726F970B2FE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50" name="Рисунок 2">
          <a:extLst>
            <a:ext uri="{FF2B5EF4-FFF2-40B4-BE49-F238E27FC236}">
              <a16:creationId xmlns:a16="http://schemas.microsoft.com/office/drawing/2014/main" xmlns="" id="{A8F5974E-2F10-4FDF-8DDE-7CDA2C61C418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51" name="Рисунок 2">
          <a:extLst>
            <a:ext uri="{FF2B5EF4-FFF2-40B4-BE49-F238E27FC236}">
              <a16:creationId xmlns:a16="http://schemas.microsoft.com/office/drawing/2014/main" xmlns="" id="{826BB922-803D-44BA-B8AC-1B9A02474C5C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52" name="Рисунок 2">
          <a:extLst>
            <a:ext uri="{FF2B5EF4-FFF2-40B4-BE49-F238E27FC236}">
              <a16:creationId xmlns:a16="http://schemas.microsoft.com/office/drawing/2014/main" xmlns="" id="{D8D12AF4-5295-44EE-9835-E3BA8245691E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53" name="Рисунок 2">
          <a:extLst>
            <a:ext uri="{FF2B5EF4-FFF2-40B4-BE49-F238E27FC236}">
              <a16:creationId xmlns:a16="http://schemas.microsoft.com/office/drawing/2014/main" xmlns="" id="{3D96145A-3A51-4563-9D4E-AF99C8BC953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54" name="Рисунок 2">
          <a:extLst>
            <a:ext uri="{FF2B5EF4-FFF2-40B4-BE49-F238E27FC236}">
              <a16:creationId xmlns:a16="http://schemas.microsoft.com/office/drawing/2014/main" xmlns="" id="{3F98C3CB-48E3-46BA-A89E-62756EF887D9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55" name="Рисунок 2">
          <a:extLst>
            <a:ext uri="{FF2B5EF4-FFF2-40B4-BE49-F238E27FC236}">
              <a16:creationId xmlns:a16="http://schemas.microsoft.com/office/drawing/2014/main" xmlns="" id="{6BC5443B-35C2-4F9F-A8D6-9804A12E6A74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56" name="Рисунок 2">
          <a:extLst>
            <a:ext uri="{FF2B5EF4-FFF2-40B4-BE49-F238E27FC236}">
              <a16:creationId xmlns:a16="http://schemas.microsoft.com/office/drawing/2014/main" xmlns="" id="{60F2A4F8-8713-4AAF-BFB6-33A5D6E8142F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57" name="Рисунок 2">
          <a:extLst>
            <a:ext uri="{FF2B5EF4-FFF2-40B4-BE49-F238E27FC236}">
              <a16:creationId xmlns:a16="http://schemas.microsoft.com/office/drawing/2014/main" xmlns="" id="{E5956B40-79E0-4C9F-95C2-377374C8F377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58" name="Рисунок 2">
          <a:extLst>
            <a:ext uri="{FF2B5EF4-FFF2-40B4-BE49-F238E27FC236}">
              <a16:creationId xmlns:a16="http://schemas.microsoft.com/office/drawing/2014/main" xmlns="" id="{C3D62C0E-3978-47B5-9332-1508218AA547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59" name="Рисунок 2">
          <a:extLst>
            <a:ext uri="{FF2B5EF4-FFF2-40B4-BE49-F238E27FC236}">
              <a16:creationId xmlns:a16="http://schemas.microsoft.com/office/drawing/2014/main" xmlns="" id="{7F34D7CA-7FE6-471E-AD35-D3406903E185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60" name="Рисунок 2">
          <a:extLst>
            <a:ext uri="{FF2B5EF4-FFF2-40B4-BE49-F238E27FC236}">
              <a16:creationId xmlns:a16="http://schemas.microsoft.com/office/drawing/2014/main" xmlns="" id="{55494A8F-2184-4C59-BB71-9E8450A1A4D4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61" name="Рисунок 2">
          <a:extLst>
            <a:ext uri="{FF2B5EF4-FFF2-40B4-BE49-F238E27FC236}">
              <a16:creationId xmlns:a16="http://schemas.microsoft.com/office/drawing/2014/main" xmlns="" id="{DA46A082-97E8-4BEA-B2E7-3BCD3862B7E4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62" name="Рисунок 2">
          <a:extLst>
            <a:ext uri="{FF2B5EF4-FFF2-40B4-BE49-F238E27FC236}">
              <a16:creationId xmlns:a16="http://schemas.microsoft.com/office/drawing/2014/main" xmlns="" id="{73B61A3E-C676-4DBA-B089-D550803C1A64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63" name="Рисунок 2">
          <a:extLst>
            <a:ext uri="{FF2B5EF4-FFF2-40B4-BE49-F238E27FC236}">
              <a16:creationId xmlns:a16="http://schemas.microsoft.com/office/drawing/2014/main" xmlns="" id="{CBC3AF25-A43C-48F1-8B40-F2BBF174250F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64" name="Рисунок 2">
          <a:extLst>
            <a:ext uri="{FF2B5EF4-FFF2-40B4-BE49-F238E27FC236}">
              <a16:creationId xmlns:a16="http://schemas.microsoft.com/office/drawing/2014/main" xmlns="" id="{023758DD-3C7C-4C58-979A-53FA0919F898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65" name="Рисунок 2">
          <a:extLst>
            <a:ext uri="{FF2B5EF4-FFF2-40B4-BE49-F238E27FC236}">
              <a16:creationId xmlns:a16="http://schemas.microsoft.com/office/drawing/2014/main" xmlns="" id="{346E6F8E-C88F-420C-8256-FEAA2C7FFC1E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66" name="Рисунок 2">
          <a:extLst>
            <a:ext uri="{FF2B5EF4-FFF2-40B4-BE49-F238E27FC236}">
              <a16:creationId xmlns:a16="http://schemas.microsoft.com/office/drawing/2014/main" xmlns="" id="{997EDA91-4916-4069-B23E-D72B4619AD75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67" name="Рисунок 2">
          <a:extLst>
            <a:ext uri="{FF2B5EF4-FFF2-40B4-BE49-F238E27FC236}">
              <a16:creationId xmlns:a16="http://schemas.microsoft.com/office/drawing/2014/main" xmlns="" id="{4EF077FA-6908-42CA-BB9F-96CA85728626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68" name="Рисунок 2">
          <a:extLst>
            <a:ext uri="{FF2B5EF4-FFF2-40B4-BE49-F238E27FC236}">
              <a16:creationId xmlns:a16="http://schemas.microsoft.com/office/drawing/2014/main" xmlns="" id="{3F85F86F-912A-45CD-9141-F8B984B4D003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69" name="Рисунок 2">
          <a:extLst>
            <a:ext uri="{FF2B5EF4-FFF2-40B4-BE49-F238E27FC236}">
              <a16:creationId xmlns:a16="http://schemas.microsoft.com/office/drawing/2014/main" xmlns="" id="{C9068D93-5BA1-4567-96B1-84690B2020D6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70" name="Рисунок 2">
          <a:extLst>
            <a:ext uri="{FF2B5EF4-FFF2-40B4-BE49-F238E27FC236}">
              <a16:creationId xmlns:a16="http://schemas.microsoft.com/office/drawing/2014/main" xmlns="" id="{BE08C709-D956-43D9-85A8-1DE196AEA086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71" name="Рисунок 2">
          <a:extLst>
            <a:ext uri="{FF2B5EF4-FFF2-40B4-BE49-F238E27FC236}">
              <a16:creationId xmlns:a16="http://schemas.microsoft.com/office/drawing/2014/main" xmlns="" id="{AAD4D884-CB17-4F99-8946-18A2468346BE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72" name="Рисунок 2">
          <a:extLst>
            <a:ext uri="{FF2B5EF4-FFF2-40B4-BE49-F238E27FC236}">
              <a16:creationId xmlns:a16="http://schemas.microsoft.com/office/drawing/2014/main" xmlns="" id="{C0FFA9F9-D108-4AB9-B39D-951F91A2B27C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73" name="Рисунок 2">
          <a:extLst>
            <a:ext uri="{FF2B5EF4-FFF2-40B4-BE49-F238E27FC236}">
              <a16:creationId xmlns:a16="http://schemas.microsoft.com/office/drawing/2014/main" xmlns="" id="{803304EC-0213-4F4D-A13F-3E7D5AA947EC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74" name="Рисунок 2">
          <a:extLst>
            <a:ext uri="{FF2B5EF4-FFF2-40B4-BE49-F238E27FC236}">
              <a16:creationId xmlns:a16="http://schemas.microsoft.com/office/drawing/2014/main" xmlns="" id="{9984AD8E-A835-441F-8929-B88AADF78816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75" name="Рисунок 2">
          <a:extLst>
            <a:ext uri="{FF2B5EF4-FFF2-40B4-BE49-F238E27FC236}">
              <a16:creationId xmlns:a16="http://schemas.microsoft.com/office/drawing/2014/main" xmlns="" id="{9CAE1F61-FD66-4D62-9136-5EC413BFF19F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76" name="Рисунок 2">
          <a:extLst>
            <a:ext uri="{FF2B5EF4-FFF2-40B4-BE49-F238E27FC236}">
              <a16:creationId xmlns:a16="http://schemas.microsoft.com/office/drawing/2014/main" xmlns="" id="{59B051D4-9035-438F-9224-0E3D88D730FC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77" name="Рисунок 2">
          <a:extLst>
            <a:ext uri="{FF2B5EF4-FFF2-40B4-BE49-F238E27FC236}">
              <a16:creationId xmlns:a16="http://schemas.microsoft.com/office/drawing/2014/main" xmlns="" id="{F21C73DF-217C-4BE3-A2A5-E8C9A1B2FCF5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78" name="Рисунок 2">
          <a:extLst>
            <a:ext uri="{FF2B5EF4-FFF2-40B4-BE49-F238E27FC236}">
              <a16:creationId xmlns:a16="http://schemas.microsoft.com/office/drawing/2014/main" xmlns="" id="{731A05ED-0817-45D7-B448-193F69B06368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79" name="Рисунок 2">
          <a:extLst>
            <a:ext uri="{FF2B5EF4-FFF2-40B4-BE49-F238E27FC236}">
              <a16:creationId xmlns:a16="http://schemas.microsoft.com/office/drawing/2014/main" xmlns="" id="{89036296-434C-4033-9667-9927C03C1800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80" name="Рисунок 2">
          <a:extLst>
            <a:ext uri="{FF2B5EF4-FFF2-40B4-BE49-F238E27FC236}">
              <a16:creationId xmlns:a16="http://schemas.microsoft.com/office/drawing/2014/main" xmlns="" id="{91BB77CD-25F4-44AE-9911-45C01F2AAF05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81" name="Рисунок 2">
          <a:extLst>
            <a:ext uri="{FF2B5EF4-FFF2-40B4-BE49-F238E27FC236}">
              <a16:creationId xmlns:a16="http://schemas.microsoft.com/office/drawing/2014/main" xmlns="" id="{F1046BD5-245D-40F1-819D-9D6BDD37F051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82" name="Рисунок 2">
          <a:extLst>
            <a:ext uri="{FF2B5EF4-FFF2-40B4-BE49-F238E27FC236}">
              <a16:creationId xmlns:a16="http://schemas.microsoft.com/office/drawing/2014/main" xmlns="" id="{930CFFA6-EFC5-4678-93A3-12C872A474CD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83" name="Рисунок 2">
          <a:extLst>
            <a:ext uri="{FF2B5EF4-FFF2-40B4-BE49-F238E27FC236}">
              <a16:creationId xmlns:a16="http://schemas.microsoft.com/office/drawing/2014/main" xmlns="" id="{79D329DC-0BEA-4878-9E49-72FA60F103DA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84" name="Рисунок 2">
          <a:extLst>
            <a:ext uri="{FF2B5EF4-FFF2-40B4-BE49-F238E27FC236}">
              <a16:creationId xmlns:a16="http://schemas.microsoft.com/office/drawing/2014/main" xmlns="" id="{83A5C550-2979-4081-9D70-1C269E4CCDE5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85" name="Рисунок 2">
          <a:extLst>
            <a:ext uri="{FF2B5EF4-FFF2-40B4-BE49-F238E27FC236}">
              <a16:creationId xmlns:a16="http://schemas.microsoft.com/office/drawing/2014/main" xmlns="" id="{58752EF6-772D-4EA3-9733-A5E7046BA52E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86" name="Рисунок 2">
          <a:extLst>
            <a:ext uri="{FF2B5EF4-FFF2-40B4-BE49-F238E27FC236}">
              <a16:creationId xmlns:a16="http://schemas.microsoft.com/office/drawing/2014/main" xmlns="" id="{30CB98B9-6B9A-490E-BC79-983AB673506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87" name="Рисунок 2">
          <a:extLst>
            <a:ext uri="{FF2B5EF4-FFF2-40B4-BE49-F238E27FC236}">
              <a16:creationId xmlns:a16="http://schemas.microsoft.com/office/drawing/2014/main" xmlns="" id="{43CD960A-E4E6-43C1-819E-439E64A8A56F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88" name="Рисунок 2">
          <a:extLst>
            <a:ext uri="{FF2B5EF4-FFF2-40B4-BE49-F238E27FC236}">
              <a16:creationId xmlns:a16="http://schemas.microsoft.com/office/drawing/2014/main" xmlns="" id="{496818DE-7D8F-405D-B014-9E76A167E55D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89" name="Рисунок 2">
          <a:extLst>
            <a:ext uri="{FF2B5EF4-FFF2-40B4-BE49-F238E27FC236}">
              <a16:creationId xmlns:a16="http://schemas.microsoft.com/office/drawing/2014/main" xmlns="" id="{F84CB058-7D1D-4C3E-8C92-F1BEECBB7044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90" name="Рисунок 2">
          <a:extLst>
            <a:ext uri="{FF2B5EF4-FFF2-40B4-BE49-F238E27FC236}">
              <a16:creationId xmlns:a16="http://schemas.microsoft.com/office/drawing/2014/main" xmlns="" id="{3647756A-1150-4B0A-BCD6-555BEA990438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91" name="Рисунок 2">
          <a:extLst>
            <a:ext uri="{FF2B5EF4-FFF2-40B4-BE49-F238E27FC236}">
              <a16:creationId xmlns:a16="http://schemas.microsoft.com/office/drawing/2014/main" xmlns="" id="{8BA5CB8D-FE6A-4891-AE06-0F8670883BC7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92" name="Рисунок 2">
          <a:extLst>
            <a:ext uri="{FF2B5EF4-FFF2-40B4-BE49-F238E27FC236}">
              <a16:creationId xmlns:a16="http://schemas.microsoft.com/office/drawing/2014/main" xmlns="" id="{FE4FBA63-8B9B-4599-AAA2-8CD156655B37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93" name="Рисунок 2">
          <a:extLst>
            <a:ext uri="{FF2B5EF4-FFF2-40B4-BE49-F238E27FC236}">
              <a16:creationId xmlns:a16="http://schemas.microsoft.com/office/drawing/2014/main" xmlns="" id="{F74AE5BF-340D-4A26-BD7C-938F77BF7159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94" name="Рисунок 2">
          <a:extLst>
            <a:ext uri="{FF2B5EF4-FFF2-40B4-BE49-F238E27FC236}">
              <a16:creationId xmlns:a16="http://schemas.microsoft.com/office/drawing/2014/main" xmlns="" id="{4CB2B4D3-298D-431E-BDA8-B61F4B0BF68D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95" name="Рисунок 2">
          <a:extLst>
            <a:ext uri="{FF2B5EF4-FFF2-40B4-BE49-F238E27FC236}">
              <a16:creationId xmlns:a16="http://schemas.microsoft.com/office/drawing/2014/main" xmlns="" id="{A4E11731-9AA3-432A-B71D-3EE132B9E36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96" name="Рисунок 2">
          <a:extLst>
            <a:ext uri="{FF2B5EF4-FFF2-40B4-BE49-F238E27FC236}">
              <a16:creationId xmlns:a16="http://schemas.microsoft.com/office/drawing/2014/main" xmlns="" id="{291D9DAE-4635-463B-807C-2A666E6A5A17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97" name="Рисунок 2">
          <a:extLst>
            <a:ext uri="{FF2B5EF4-FFF2-40B4-BE49-F238E27FC236}">
              <a16:creationId xmlns:a16="http://schemas.microsoft.com/office/drawing/2014/main" xmlns="" id="{16D2FB83-8A7A-451B-8C48-1D5B8117274D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98" name="Рисунок 2">
          <a:extLst>
            <a:ext uri="{FF2B5EF4-FFF2-40B4-BE49-F238E27FC236}">
              <a16:creationId xmlns:a16="http://schemas.microsoft.com/office/drawing/2014/main" xmlns="" id="{C571437A-DC64-4423-BA7C-F204D369AAF4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99" name="Рисунок 2">
          <a:extLst>
            <a:ext uri="{FF2B5EF4-FFF2-40B4-BE49-F238E27FC236}">
              <a16:creationId xmlns:a16="http://schemas.microsoft.com/office/drawing/2014/main" xmlns="" id="{FCC0F8B0-F8F7-4084-ABF4-2489BAAFCE86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00" name="Рисунок 2">
          <a:extLst>
            <a:ext uri="{FF2B5EF4-FFF2-40B4-BE49-F238E27FC236}">
              <a16:creationId xmlns:a16="http://schemas.microsoft.com/office/drawing/2014/main" xmlns="" id="{26695DDE-5CF1-48E7-B174-84B81B164E1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01" name="Рисунок 2">
          <a:extLst>
            <a:ext uri="{FF2B5EF4-FFF2-40B4-BE49-F238E27FC236}">
              <a16:creationId xmlns:a16="http://schemas.microsoft.com/office/drawing/2014/main" xmlns="" id="{DE438057-4044-44B9-8E07-BE00F52B36F6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02" name="Рисунок 2">
          <a:extLst>
            <a:ext uri="{FF2B5EF4-FFF2-40B4-BE49-F238E27FC236}">
              <a16:creationId xmlns:a16="http://schemas.microsoft.com/office/drawing/2014/main" xmlns="" id="{041B4E91-E5DC-454F-BE1F-2BBAB34E0CE6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03" name="Рисунок 2">
          <a:extLst>
            <a:ext uri="{FF2B5EF4-FFF2-40B4-BE49-F238E27FC236}">
              <a16:creationId xmlns:a16="http://schemas.microsoft.com/office/drawing/2014/main" xmlns="" id="{4EB9D7FC-6489-4734-84B7-F601FBAE6001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04" name="Рисунок 2">
          <a:extLst>
            <a:ext uri="{FF2B5EF4-FFF2-40B4-BE49-F238E27FC236}">
              <a16:creationId xmlns:a16="http://schemas.microsoft.com/office/drawing/2014/main" xmlns="" id="{E2EA28ED-F3B0-458E-893E-8FB7767C198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05" name="Рисунок 2">
          <a:extLst>
            <a:ext uri="{FF2B5EF4-FFF2-40B4-BE49-F238E27FC236}">
              <a16:creationId xmlns:a16="http://schemas.microsoft.com/office/drawing/2014/main" xmlns="" id="{63EACF23-F250-44BF-BC8F-65084DD9F424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06" name="Рисунок 2">
          <a:extLst>
            <a:ext uri="{FF2B5EF4-FFF2-40B4-BE49-F238E27FC236}">
              <a16:creationId xmlns:a16="http://schemas.microsoft.com/office/drawing/2014/main" xmlns="" id="{17E83A25-F6D5-481D-9F20-2DA1DB838AA2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07" name="Рисунок 2">
          <a:extLst>
            <a:ext uri="{FF2B5EF4-FFF2-40B4-BE49-F238E27FC236}">
              <a16:creationId xmlns:a16="http://schemas.microsoft.com/office/drawing/2014/main" xmlns="" id="{8BC2A355-F360-4ED5-8A65-D25EF478044A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08" name="Рисунок 2">
          <a:extLst>
            <a:ext uri="{FF2B5EF4-FFF2-40B4-BE49-F238E27FC236}">
              <a16:creationId xmlns:a16="http://schemas.microsoft.com/office/drawing/2014/main" xmlns="" id="{F90E4047-4C53-491C-ADE4-B746446163E2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09" name="Рисунок 2">
          <a:extLst>
            <a:ext uri="{FF2B5EF4-FFF2-40B4-BE49-F238E27FC236}">
              <a16:creationId xmlns:a16="http://schemas.microsoft.com/office/drawing/2014/main" xmlns="" id="{362F17D2-B249-4AAB-B20C-93EEA1439BCB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10" name="Рисунок 2">
          <a:extLst>
            <a:ext uri="{FF2B5EF4-FFF2-40B4-BE49-F238E27FC236}">
              <a16:creationId xmlns:a16="http://schemas.microsoft.com/office/drawing/2014/main" xmlns="" id="{190A5AEE-91B3-4A1A-9ACA-242C7A169F78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11" name="Рисунок 2">
          <a:extLst>
            <a:ext uri="{FF2B5EF4-FFF2-40B4-BE49-F238E27FC236}">
              <a16:creationId xmlns:a16="http://schemas.microsoft.com/office/drawing/2014/main" xmlns="" id="{80B360F8-986B-427B-B7E5-F66573679EDC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12" name="Рисунок 2">
          <a:extLst>
            <a:ext uri="{FF2B5EF4-FFF2-40B4-BE49-F238E27FC236}">
              <a16:creationId xmlns:a16="http://schemas.microsoft.com/office/drawing/2014/main" xmlns="" id="{303F9021-15C2-439F-AA74-60119BA1DEA3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13" name="Рисунок 2">
          <a:extLst>
            <a:ext uri="{FF2B5EF4-FFF2-40B4-BE49-F238E27FC236}">
              <a16:creationId xmlns:a16="http://schemas.microsoft.com/office/drawing/2014/main" xmlns="" id="{D3458032-0586-4D21-BE97-C043C04F4217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14" name="Рисунок 2">
          <a:extLst>
            <a:ext uri="{FF2B5EF4-FFF2-40B4-BE49-F238E27FC236}">
              <a16:creationId xmlns:a16="http://schemas.microsoft.com/office/drawing/2014/main" xmlns="" id="{D6C55744-7C8B-4E51-A801-3F778BC6D255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15" name="Рисунок 2">
          <a:extLst>
            <a:ext uri="{FF2B5EF4-FFF2-40B4-BE49-F238E27FC236}">
              <a16:creationId xmlns:a16="http://schemas.microsoft.com/office/drawing/2014/main" xmlns="" id="{F76CC98B-8E13-4D63-AA57-0CDAB0A20674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16" name="Рисунок 2">
          <a:extLst>
            <a:ext uri="{FF2B5EF4-FFF2-40B4-BE49-F238E27FC236}">
              <a16:creationId xmlns:a16="http://schemas.microsoft.com/office/drawing/2014/main" xmlns="" id="{BBEB8170-AEAA-4E6C-8C46-7D1FE3CAB4F9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17" name="Рисунок 2">
          <a:extLst>
            <a:ext uri="{FF2B5EF4-FFF2-40B4-BE49-F238E27FC236}">
              <a16:creationId xmlns:a16="http://schemas.microsoft.com/office/drawing/2014/main" xmlns="" id="{ED387C94-F365-4449-AC9A-1F8364067E7E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18" name="Рисунок 2">
          <a:extLst>
            <a:ext uri="{FF2B5EF4-FFF2-40B4-BE49-F238E27FC236}">
              <a16:creationId xmlns:a16="http://schemas.microsoft.com/office/drawing/2014/main" xmlns="" id="{D077CCD4-2CF5-4ECE-9B9E-E6843D52F6BE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19" name="Рисунок 2">
          <a:extLst>
            <a:ext uri="{FF2B5EF4-FFF2-40B4-BE49-F238E27FC236}">
              <a16:creationId xmlns:a16="http://schemas.microsoft.com/office/drawing/2014/main" xmlns="" id="{E6332414-91E7-48AB-A212-0C218279BDAD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20" name="Рисунок 2">
          <a:extLst>
            <a:ext uri="{FF2B5EF4-FFF2-40B4-BE49-F238E27FC236}">
              <a16:creationId xmlns:a16="http://schemas.microsoft.com/office/drawing/2014/main" xmlns="" id="{89310922-E146-42A5-8764-732B32FB0F8F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21" name="Рисунок 2">
          <a:extLst>
            <a:ext uri="{FF2B5EF4-FFF2-40B4-BE49-F238E27FC236}">
              <a16:creationId xmlns:a16="http://schemas.microsoft.com/office/drawing/2014/main" xmlns="" id="{9297A9A3-A03A-43BA-BD5F-98720031FF86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22" name="Рисунок 2">
          <a:extLst>
            <a:ext uri="{FF2B5EF4-FFF2-40B4-BE49-F238E27FC236}">
              <a16:creationId xmlns:a16="http://schemas.microsoft.com/office/drawing/2014/main" xmlns="" id="{D02140CF-E733-471B-917C-5F1833613F8F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23" name="Рисунок 2">
          <a:extLst>
            <a:ext uri="{FF2B5EF4-FFF2-40B4-BE49-F238E27FC236}">
              <a16:creationId xmlns:a16="http://schemas.microsoft.com/office/drawing/2014/main" xmlns="" id="{0000DE01-C9A2-4B99-BF94-030D8ADBCE17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24" name="Рисунок 2">
          <a:extLst>
            <a:ext uri="{FF2B5EF4-FFF2-40B4-BE49-F238E27FC236}">
              <a16:creationId xmlns:a16="http://schemas.microsoft.com/office/drawing/2014/main" xmlns="" id="{BB333E10-EEBF-4D16-A6E8-AA960EBEDCDE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25" name="Рисунок 2">
          <a:extLst>
            <a:ext uri="{FF2B5EF4-FFF2-40B4-BE49-F238E27FC236}">
              <a16:creationId xmlns:a16="http://schemas.microsoft.com/office/drawing/2014/main" xmlns="" id="{7BEA2664-D295-4429-961B-4711A1FB11F5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26" name="Рисунок 2">
          <a:extLst>
            <a:ext uri="{FF2B5EF4-FFF2-40B4-BE49-F238E27FC236}">
              <a16:creationId xmlns:a16="http://schemas.microsoft.com/office/drawing/2014/main" xmlns="" id="{3114B78B-C023-471E-BF8F-13F12FE5BC11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27" name="Рисунок 2">
          <a:extLst>
            <a:ext uri="{FF2B5EF4-FFF2-40B4-BE49-F238E27FC236}">
              <a16:creationId xmlns:a16="http://schemas.microsoft.com/office/drawing/2014/main" xmlns="" id="{338283CE-6EE9-45EC-B5F4-70BCF91CEB3E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28" name="Рисунок 2">
          <a:extLst>
            <a:ext uri="{FF2B5EF4-FFF2-40B4-BE49-F238E27FC236}">
              <a16:creationId xmlns:a16="http://schemas.microsoft.com/office/drawing/2014/main" xmlns="" id="{79B1B170-2DF3-439E-B24E-530ED2D37C98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29" name="Рисунок 2">
          <a:extLst>
            <a:ext uri="{FF2B5EF4-FFF2-40B4-BE49-F238E27FC236}">
              <a16:creationId xmlns:a16="http://schemas.microsoft.com/office/drawing/2014/main" xmlns="" id="{FC514F00-445F-4730-883B-A06C279625B1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30" name="Рисунок 2">
          <a:extLst>
            <a:ext uri="{FF2B5EF4-FFF2-40B4-BE49-F238E27FC236}">
              <a16:creationId xmlns:a16="http://schemas.microsoft.com/office/drawing/2014/main" xmlns="" id="{6C358FC0-F035-45D3-88F1-149AAE9A1427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31" name="Рисунок 2">
          <a:extLst>
            <a:ext uri="{FF2B5EF4-FFF2-40B4-BE49-F238E27FC236}">
              <a16:creationId xmlns:a16="http://schemas.microsoft.com/office/drawing/2014/main" xmlns="" id="{A1A1561C-AE26-462B-AFAC-C5BC03BE4B64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32" name="Рисунок 2">
          <a:extLst>
            <a:ext uri="{FF2B5EF4-FFF2-40B4-BE49-F238E27FC236}">
              <a16:creationId xmlns:a16="http://schemas.microsoft.com/office/drawing/2014/main" xmlns="" id="{D4D6CAD3-13D8-4D3B-AA9F-60BD48E96815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33" name="Рисунок 2">
          <a:extLst>
            <a:ext uri="{FF2B5EF4-FFF2-40B4-BE49-F238E27FC236}">
              <a16:creationId xmlns:a16="http://schemas.microsoft.com/office/drawing/2014/main" xmlns="" id="{9C03D84A-0C6E-497C-B3DC-5E5D33A97DC9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34" name="Рисунок 2">
          <a:extLst>
            <a:ext uri="{FF2B5EF4-FFF2-40B4-BE49-F238E27FC236}">
              <a16:creationId xmlns:a16="http://schemas.microsoft.com/office/drawing/2014/main" xmlns="" id="{3AACD6C8-8FF6-4E91-9C16-5A98507A6CDD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35" name="Рисунок 2">
          <a:extLst>
            <a:ext uri="{FF2B5EF4-FFF2-40B4-BE49-F238E27FC236}">
              <a16:creationId xmlns:a16="http://schemas.microsoft.com/office/drawing/2014/main" xmlns="" id="{CAD89E9B-03C3-4A03-A1DB-19562B74A393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36" name="Рисунок 2">
          <a:extLst>
            <a:ext uri="{FF2B5EF4-FFF2-40B4-BE49-F238E27FC236}">
              <a16:creationId xmlns:a16="http://schemas.microsoft.com/office/drawing/2014/main" xmlns="" id="{717C5F20-39F8-427D-B7D2-92CA83EF6117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37" name="Рисунок 2">
          <a:extLst>
            <a:ext uri="{FF2B5EF4-FFF2-40B4-BE49-F238E27FC236}">
              <a16:creationId xmlns:a16="http://schemas.microsoft.com/office/drawing/2014/main" xmlns="" id="{6FB877ED-D4FC-4173-AEA9-CFD6F7E0CB58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38" name="Рисунок 2">
          <a:extLst>
            <a:ext uri="{FF2B5EF4-FFF2-40B4-BE49-F238E27FC236}">
              <a16:creationId xmlns:a16="http://schemas.microsoft.com/office/drawing/2014/main" xmlns="" id="{6E98735D-9984-45DF-90A5-FF7FE6B9E4D4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39" name="Рисунок 2">
          <a:extLst>
            <a:ext uri="{FF2B5EF4-FFF2-40B4-BE49-F238E27FC236}">
              <a16:creationId xmlns:a16="http://schemas.microsoft.com/office/drawing/2014/main" xmlns="" id="{3EFBB96D-8FF8-49EE-8932-124002E91482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40" name="Рисунок 2">
          <a:extLst>
            <a:ext uri="{FF2B5EF4-FFF2-40B4-BE49-F238E27FC236}">
              <a16:creationId xmlns:a16="http://schemas.microsoft.com/office/drawing/2014/main" xmlns="" id="{8864163E-4F14-479E-B716-1CA74843B568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41" name="Рисунок 2">
          <a:extLst>
            <a:ext uri="{FF2B5EF4-FFF2-40B4-BE49-F238E27FC236}">
              <a16:creationId xmlns:a16="http://schemas.microsoft.com/office/drawing/2014/main" xmlns="" id="{0B7A395D-4977-4216-B76C-03AF31B4416C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42" name="Рисунок 2">
          <a:extLst>
            <a:ext uri="{FF2B5EF4-FFF2-40B4-BE49-F238E27FC236}">
              <a16:creationId xmlns:a16="http://schemas.microsoft.com/office/drawing/2014/main" xmlns="" id="{573051C9-2ADB-4843-9F2F-14CC807CDC43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43" name="Рисунок 2">
          <a:extLst>
            <a:ext uri="{FF2B5EF4-FFF2-40B4-BE49-F238E27FC236}">
              <a16:creationId xmlns:a16="http://schemas.microsoft.com/office/drawing/2014/main" xmlns="" id="{5F4369D4-F78E-4775-AC24-2BA7C72EC1AE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44" name="Рисунок 2">
          <a:extLst>
            <a:ext uri="{FF2B5EF4-FFF2-40B4-BE49-F238E27FC236}">
              <a16:creationId xmlns:a16="http://schemas.microsoft.com/office/drawing/2014/main" xmlns="" id="{CE26DECF-A67B-485A-BFC8-25C761A8F564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45" name="Рисунок 2">
          <a:extLst>
            <a:ext uri="{FF2B5EF4-FFF2-40B4-BE49-F238E27FC236}">
              <a16:creationId xmlns:a16="http://schemas.microsoft.com/office/drawing/2014/main" xmlns="" id="{04B60958-9077-47AB-9F24-F80E8BD46F0A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46" name="Рисунок 2">
          <a:extLst>
            <a:ext uri="{FF2B5EF4-FFF2-40B4-BE49-F238E27FC236}">
              <a16:creationId xmlns:a16="http://schemas.microsoft.com/office/drawing/2014/main" xmlns="" id="{D0F26804-B743-4B46-9FF9-BD98D6477BDF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47" name="Рисунок 2">
          <a:extLst>
            <a:ext uri="{FF2B5EF4-FFF2-40B4-BE49-F238E27FC236}">
              <a16:creationId xmlns:a16="http://schemas.microsoft.com/office/drawing/2014/main" xmlns="" id="{53F42D9D-7C26-40AA-B90C-1A25EF0C669E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48" name="Рисунок 2">
          <a:extLst>
            <a:ext uri="{FF2B5EF4-FFF2-40B4-BE49-F238E27FC236}">
              <a16:creationId xmlns:a16="http://schemas.microsoft.com/office/drawing/2014/main" xmlns="" id="{1C61D922-C0A2-48DE-9E05-C1F98BBFDFFC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49" name="Рисунок 2">
          <a:extLst>
            <a:ext uri="{FF2B5EF4-FFF2-40B4-BE49-F238E27FC236}">
              <a16:creationId xmlns:a16="http://schemas.microsoft.com/office/drawing/2014/main" xmlns="" id="{4AFB2F5E-E02A-48DF-9F51-4F9D354B2818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50" name="Рисунок 2">
          <a:extLst>
            <a:ext uri="{FF2B5EF4-FFF2-40B4-BE49-F238E27FC236}">
              <a16:creationId xmlns:a16="http://schemas.microsoft.com/office/drawing/2014/main" xmlns="" id="{03ED8F67-63E5-4F2E-904C-AF251D453708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51" name="Рисунок 2">
          <a:extLst>
            <a:ext uri="{FF2B5EF4-FFF2-40B4-BE49-F238E27FC236}">
              <a16:creationId xmlns:a16="http://schemas.microsoft.com/office/drawing/2014/main" xmlns="" id="{B7F747C5-6DF6-4696-8A72-865B67988B17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52" name="Рисунок 2">
          <a:extLst>
            <a:ext uri="{FF2B5EF4-FFF2-40B4-BE49-F238E27FC236}">
              <a16:creationId xmlns:a16="http://schemas.microsoft.com/office/drawing/2014/main" xmlns="" id="{AB93CCB2-540D-4A9B-B92E-9449F9A1CBF8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53" name="Рисунок 2">
          <a:extLst>
            <a:ext uri="{FF2B5EF4-FFF2-40B4-BE49-F238E27FC236}">
              <a16:creationId xmlns:a16="http://schemas.microsoft.com/office/drawing/2014/main" xmlns="" id="{5D80B42B-4B52-44C3-BE04-3D51FA43BC01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54" name="Рисунок 2">
          <a:extLst>
            <a:ext uri="{FF2B5EF4-FFF2-40B4-BE49-F238E27FC236}">
              <a16:creationId xmlns:a16="http://schemas.microsoft.com/office/drawing/2014/main" xmlns="" id="{277A94F4-D7A0-429F-9BC7-6F8E11D54E35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55" name="Рисунок 2">
          <a:extLst>
            <a:ext uri="{FF2B5EF4-FFF2-40B4-BE49-F238E27FC236}">
              <a16:creationId xmlns:a16="http://schemas.microsoft.com/office/drawing/2014/main" xmlns="" id="{FD324FB4-A4D2-4E93-84E9-80B06F4A4E92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56" name="Рисунок 2">
          <a:extLst>
            <a:ext uri="{FF2B5EF4-FFF2-40B4-BE49-F238E27FC236}">
              <a16:creationId xmlns:a16="http://schemas.microsoft.com/office/drawing/2014/main" xmlns="" id="{82C5E9B4-36D7-4449-BDD6-9816E08FC51B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57" name="Рисунок 2">
          <a:extLst>
            <a:ext uri="{FF2B5EF4-FFF2-40B4-BE49-F238E27FC236}">
              <a16:creationId xmlns:a16="http://schemas.microsoft.com/office/drawing/2014/main" xmlns="" id="{16F1C6BB-8CFB-4AE2-BD80-9C739A2A9B61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58" name="Рисунок 2">
          <a:extLst>
            <a:ext uri="{FF2B5EF4-FFF2-40B4-BE49-F238E27FC236}">
              <a16:creationId xmlns:a16="http://schemas.microsoft.com/office/drawing/2014/main" xmlns="" id="{CA625D6C-53CD-4684-ADA1-4F9189300D97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59" name="Рисунок 2">
          <a:extLst>
            <a:ext uri="{FF2B5EF4-FFF2-40B4-BE49-F238E27FC236}">
              <a16:creationId xmlns:a16="http://schemas.microsoft.com/office/drawing/2014/main" xmlns="" id="{5CB5CD1E-ACD1-4B2E-8CEC-1F007F5CA625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60" name="Рисунок 2">
          <a:extLst>
            <a:ext uri="{FF2B5EF4-FFF2-40B4-BE49-F238E27FC236}">
              <a16:creationId xmlns:a16="http://schemas.microsoft.com/office/drawing/2014/main" xmlns="" id="{0E8BECA7-6FF4-499B-8408-A46F11F84AD1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161" name="Рисунок 2">
          <a:extLst>
            <a:ext uri="{FF2B5EF4-FFF2-40B4-BE49-F238E27FC236}">
              <a16:creationId xmlns:a16="http://schemas.microsoft.com/office/drawing/2014/main" xmlns="" id="{2633C8A2-5C68-47EB-87D4-AD9C4CDB2EAD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352425</xdr:colOff>
      <xdr:row>1</xdr:row>
      <xdr:rowOff>9525</xdr:rowOff>
    </xdr:from>
    <xdr:to>
      <xdr:col>12</xdr:col>
      <xdr:colOff>142875</xdr:colOff>
      <xdr:row>5</xdr:row>
      <xdr:rowOff>38100</xdr:rowOff>
    </xdr:to>
    <xdr:sp macro="" textlink="">
      <xdr:nvSpPr>
        <xdr:cNvPr id="162" name="TextBox 191">
          <a:extLst>
            <a:ext uri="{FF2B5EF4-FFF2-40B4-BE49-F238E27FC236}">
              <a16:creationId xmlns:a16="http://schemas.microsoft.com/office/drawing/2014/main" xmlns="" id="{34F45743-7268-456B-ABC0-CBD9C5B4AB04}"/>
            </a:ext>
          </a:extLst>
        </xdr:cNvPr>
        <xdr:cNvSpPr txBox="1">
          <a:spLocks noChangeArrowheads="1"/>
        </xdr:cNvSpPr>
      </xdr:nvSpPr>
      <xdr:spPr bwMode="auto">
        <a:xfrm>
          <a:off x="3400425" y="200025"/>
          <a:ext cx="4057650" cy="790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prstDash val="solid"/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ru-RU" sz="1800" b="1" i="0" u="none" strike="noStrike" baseline="0">
              <a:solidFill>
                <a:srgbClr val="333333"/>
              </a:solidFill>
              <a:latin typeface="Calibri"/>
              <a:cs typeface="Calibri"/>
            </a:rPr>
            <a:t>THIS DOCUMENT IS ENCRYPTED BY</a:t>
          </a:r>
        </a:p>
        <a:p>
          <a:pPr algn="l" rtl="0">
            <a:defRPr sz="1000"/>
          </a:pPr>
          <a:r>
            <a:rPr lang="ru-RU" sz="1800" b="1" i="0" u="none" strike="noStrike" baseline="0">
              <a:solidFill>
                <a:srgbClr val="0066CC"/>
              </a:solidFill>
              <a:latin typeface="Calibri"/>
              <a:cs typeface="Calibri"/>
            </a:rPr>
            <a:t>   DOCUSIGN® PROTECT SERVICE</a:t>
          </a:r>
        </a:p>
      </xdr:txBody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63" name="Рисунок 2">
          <a:extLst>
            <a:ext uri="{FF2B5EF4-FFF2-40B4-BE49-F238E27FC236}">
              <a16:creationId xmlns:a16="http://schemas.microsoft.com/office/drawing/2014/main" xmlns="" id="{8A80ADE3-E3D3-48EC-8BEC-D45E309F2835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64" name="Рисунок 2">
          <a:extLst>
            <a:ext uri="{FF2B5EF4-FFF2-40B4-BE49-F238E27FC236}">
              <a16:creationId xmlns:a16="http://schemas.microsoft.com/office/drawing/2014/main" xmlns="" id="{51333D7D-960A-4F4D-AF3B-63342E56354E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65" name="Рисунок 2">
          <a:extLst>
            <a:ext uri="{FF2B5EF4-FFF2-40B4-BE49-F238E27FC236}">
              <a16:creationId xmlns:a16="http://schemas.microsoft.com/office/drawing/2014/main" xmlns="" id="{B8C68A1C-338E-4EA7-BDD3-D1FD3A3C8212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66" name="Рисунок 2">
          <a:extLst>
            <a:ext uri="{FF2B5EF4-FFF2-40B4-BE49-F238E27FC236}">
              <a16:creationId xmlns:a16="http://schemas.microsoft.com/office/drawing/2014/main" xmlns="" id="{0CA795B2-B3B9-4ED7-9037-02B9454FFA9F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67" name="Рисунок 2">
          <a:extLst>
            <a:ext uri="{FF2B5EF4-FFF2-40B4-BE49-F238E27FC236}">
              <a16:creationId xmlns:a16="http://schemas.microsoft.com/office/drawing/2014/main" xmlns="" id="{8E5ACF0B-4D7D-476B-8DC9-B75CE1CBEC6F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68" name="Рисунок 2">
          <a:extLst>
            <a:ext uri="{FF2B5EF4-FFF2-40B4-BE49-F238E27FC236}">
              <a16:creationId xmlns:a16="http://schemas.microsoft.com/office/drawing/2014/main" xmlns="" id="{980C8517-0ADE-41BC-8189-59312BD881F5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69" name="Рисунок 2">
          <a:extLst>
            <a:ext uri="{FF2B5EF4-FFF2-40B4-BE49-F238E27FC236}">
              <a16:creationId xmlns:a16="http://schemas.microsoft.com/office/drawing/2014/main" xmlns="" id="{F818EACE-10D1-4869-B115-3F3BE61187DE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70" name="Рисунок 2">
          <a:extLst>
            <a:ext uri="{FF2B5EF4-FFF2-40B4-BE49-F238E27FC236}">
              <a16:creationId xmlns:a16="http://schemas.microsoft.com/office/drawing/2014/main" xmlns="" id="{58223141-D6D2-49C2-BFFC-677B7882FC0C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71" name="Рисунок 2">
          <a:extLst>
            <a:ext uri="{FF2B5EF4-FFF2-40B4-BE49-F238E27FC236}">
              <a16:creationId xmlns:a16="http://schemas.microsoft.com/office/drawing/2014/main" xmlns="" id="{30309518-0148-4A09-B0CD-08FFF41027FB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72" name="Рисунок 2">
          <a:extLst>
            <a:ext uri="{FF2B5EF4-FFF2-40B4-BE49-F238E27FC236}">
              <a16:creationId xmlns:a16="http://schemas.microsoft.com/office/drawing/2014/main" xmlns="" id="{7556EE51-60F5-4600-A14D-AA785C4F7208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73" name="Рисунок 2">
          <a:extLst>
            <a:ext uri="{FF2B5EF4-FFF2-40B4-BE49-F238E27FC236}">
              <a16:creationId xmlns:a16="http://schemas.microsoft.com/office/drawing/2014/main" xmlns="" id="{A1FE1F3C-335B-4FB2-B81B-3C6FCA186275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174" name="Рисунок 2">
          <a:extLst>
            <a:ext uri="{FF2B5EF4-FFF2-40B4-BE49-F238E27FC236}">
              <a16:creationId xmlns:a16="http://schemas.microsoft.com/office/drawing/2014/main" xmlns="" id="{1028F8D5-E0C3-4147-8B55-54A6334FE0FF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175" name="Рисунок 2">
          <a:extLst>
            <a:ext uri="{FF2B5EF4-FFF2-40B4-BE49-F238E27FC236}">
              <a16:creationId xmlns:a16="http://schemas.microsoft.com/office/drawing/2014/main" xmlns="" id="{F44823C1-6323-4BDF-9B4B-500F9AAC2139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176" name="Рисунок 2">
          <a:extLst>
            <a:ext uri="{FF2B5EF4-FFF2-40B4-BE49-F238E27FC236}">
              <a16:creationId xmlns:a16="http://schemas.microsoft.com/office/drawing/2014/main" xmlns="" id="{3DB087E2-2F7F-4C69-927F-7DF48AD89999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177" name="Рисунок 2">
          <a:extLst>
            <a:ext uri="{FF2B5EF4-FFF2-40B4-BE49-F238E27FC236}">
              <a16:creationId xmlns:a16="http://schemas.microsoft.com/office/drawing/2014/main" xmlns="" id="{78DF4F07-3214-425A-BF3C-A7796DD1FD10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178" name="Рисунок 2">
          <a:extLst>
            <a:ext uri="{FF2B5EF4-FFF2-40B4-BE49-F238E27FC236}">
              <a16:creationId xmlns:a16="http://schemas.microsoft.com/office/drawing/2014/main" xmlns="" id="{6344DCA6-383F-4390-94DC-795A4843BF51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179" name="Рисунок 2">
          <a:extLst>
            <a:ext uri="{FF2B5EF4-FFF2-40B4-BE49-F238E27FC236}">
              <a16:creationId xmlns:a16="http://schemas.microsoft.com/office/drawing/2014/main" xmlns="" id="{D79B8548-F2AD-4A36-9729-21FD99583796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180" name="Рисунок 2">
          <a:extLst>
            <a:ext uri="{FF2B5EF4-FFF2-40B4-BE49-F238E27FC236}">
              <a16:creationId xmlns:a16="http://schemas.microsoft.com/office/drawing/2014/main" xmlns="" id="{B30ED802-0CE9-4825-9682-F3CD2BD87006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181" name="Рисунок 2">
          <a:extLst>
            <a:ext uri="{FF2B5EF4-FFF2-40B4-BE49-F238E27FC236}">
              <a16:creationId xmlns:a16="http://schemas.microsoft.com/office/drawing/2014/main" xmlns="" id="{3C0E471E-B2D4-494C-B45C-0F61AEE96AFB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182" name="Рисунок 2">
          <a:extLst>
            <a:ext uri="{FF2B5EF4-FFF2-40B4-BE49-F238E27FC236}">
              <a16:creationId xmlns:a16="http://schemas.microsoft.com/office/drawing/2014/main" xmlns="" id="{3B34ABD7-2D0C-4B6D-967A-6E53666165C0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183" name="Рисунок 2">
          <a:extLst>
            <a:ext uri="{FF2B5EF4-FFF2-40B4-BE49-F238E27FC236}">
              <a16:creationId xmlns:a16="http://schemas.microsoft.com/office/drawing/2014/main" xmlns="" id="{9580F9A0-3150-4F25-B893-D2B3A6E92106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184" name="Рисунок 2">
          <a:extLst>
            <a:ext uri="{FF2B5EF4-FFF2-40B4-BE49-F238E27FC236}">
              <a16:creationId xmlns:a16="http://schemas.microsoft.com/office/drawing/2014/main" xmlns="" id="{87B3576F-37C1-4879-8F8E-F845CA88A8BA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185" name="Рисунок 2">
          <a:extLst>
            <a:ext uri="{FF2B5EF4-FFF2-40B4-BE49-F238E27FC236}">
              <a16:creationId xmlns:a16="http://schemas.microsoft.com/office/drawing/2014/main" xmlns="" id="{BF2ECF50-D9F4-4C21-8B97-181E07504E92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186" name="Рисунок 2">
          <a:extLst>
            <a:ext uri="{FF2B5EF4-FFF2-40B4-BE49-F238E27FC236}">
              <a16:creationId xmlns:a16="http://schemas.microsoft.com/office/drawing/2014/main" xmlns="" id="{01130303-1EAF-49E8-8B15-33836824DBE7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187" name="Рисунок 2">
          <a:extLst>
            <a:ext uri="{FF2B5EF4-FFF2-40B4-BE49-F238E27FC236}">
              <a16:creationId xmlns:a16="http://schemas.microsoft.com/office/drawing/2014/main" xmlns="" id="{2A9AAEE8-CA1D-4FB1-AC9B-91C0EB849617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188" name="Рисунок 2">
          <a:extLst>
            <a:ext uri="{FF2B5EF4-FFF2-40B4-BE49-F238E27FC236}">
              <a16:creationId xmlns:a16="http://schemas.microsoft.com/office/drawing/2014/main" xmlns="" id="{3EDE12DF-08DB-4144-B1ED-5855EDABB459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189" name="Рисунок 2">
          <a:extLst>
            <a:ext uri="{FF2B5EF4-FFF2-40B4-BE49-F238E27FC236}">
              <a16:creationId xmlns:a16="http://schemas.microsoft.com/office/drawing/2014/main" xmlns="" id="{67F205FA-5A7E-4C16-940E-46549778351C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190" name="Рисунок 2">
          <a:extLst>
            <a:ext uri="{FF2B5EF4-FFF2-40B4-BE49-F238E27FC236}">
              <a16:creationId xmlns:a16="http://schemas.microsoft.com/office/drawing/2014/main" xmlns="" id="{745DCFA0-51C6-4789-B789-1295EB820F62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191" name="Рисунок 2">
          <a:extLst>
            <a:ext uri="{FF2B5EF4-FFF2-40B4-BE49-F238E27FC236}">
              <a16:creationId xmlns:a16="http://schemas.microsoft.com/office/drawing/2014/main" xmlns="" id="{2BE9B4B5-A09D-4F8E-B97C-41D494BDD23A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192" name="Рисунок 2">
          <a:extLst>
            <a:ext uri="{FF2B5EF4-FFF2-40B4-BE49-F238E27FC236}">
              <a16:creationId xmlns:a16="http://schemas.microsoft.com/office/drawing/2014/main" xmlns="" id="{C1844A7F-614A-4701-BB66-CD23E889B701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193" name="Рисунок 2">
          <a:extLst>
            <a:ext uri="{FF2B5EF4-FFF2-40B4-BE49-F238E27FC236}">
              <a16:creationId xmlns:a16="http://schemas.microsoft.com/office/drawing/2014/main" xmlns="" id="{E7375866-BD8B-4559-88F2-9543646FA20A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194" name="Рисунок 2">
          <a:extLst>
            <a:ext uri="{FF2B5EF4-FFF2-40B4-BE49-F238E27FC236}">
              <a16:creationId xmlns:a16="http://schemas.microsoft.com/office/drawing/2014/main" xmlns="" id="{E4C17750-5DE7-403D-AD63-05CC5F8221CA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195" name="Рисунок 2">
          <a:extLst>
            <a:ext uri="{FF2B5EF4-FFF2-40B4-BE49-F238E27FC236}">
              <a16:creationId xmlns:a16="http://schemas.microsoft.com/office/drawing/2014/main" xmlns="" id="{43583465-0DC1-4441-89C1-538D40715E7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196" name="Рисунок 2">
          <a:extLst>
            <a:ext uri="{FF2B5EF4-FFF2-40B4-BE49-F238E27FC236}">
              <a16:creationId xmlns:a16="http://schemas.microsoft.com/office/drawing/2014/main" xmlns="" id="{E8C8322F-F947-46F2-BDF7-FFC532F204F4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197" name="Рисунок 2">
          <a:extLst>
            <a:ext uri="{FF2B5EF4-FFF2-40B4-BE49-F238E27FC236}">
              <a16:creationId xmlns:a16="http://schemas.microsoft.com/office/drawing/2014/main" xmlns="" id="{37F94E8C-CDD2-4189-8506-8017FA78E3EC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198" name="Рисунок 2">
          <a:extLst>
            <a:ext uri="{FF2B5EF4-FFF2-40B4-BE49-F238E27FC236}">
              <a16:creationId xmlns:a16="http://schemas.microsoft.com/office/drawing/2014/main" xmlns="" id="{5E558091-D598-46F4-B0BC-77C575FDFC2D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199" name="Рисунок 2">
          <a:extLst>
            <a:ext uri="{FF2B5EF4-FFF2-40B4-BE49-F238E27FC236}">
              <a16:creationId xmlns:a16="http://schemas.microsoft.com/office/drawing/2014/main" xmlns="" id="{8606D47D-C785-4689-B164-73F1FCEC551E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00" name="Рисунок 2">
          <a:extLst>
            <a:ext uri="{FF2B5EF4-FFF2-40B4-BE49-F238E27FC236}">
              <a16:creationId xmlns:a16="http://schemas.microsoft.com/office/drawing/2014/main" xmlns="" id="{D6C885FF-0FEA-4C2F-ADF9-0F035DEBF2B0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01" name="Рисунок 2">
          <a:extLst>
            <a:ext uri="{FF2B5EF4-FFF2-40B4-BE49-F238E27FC236}">
              <a16:creationId xmlns:a16="http://schemas.microsoft.com/office/drawing/2014/main" xmlns="" id="{0572F2D0-197D-46ED-B29A-6EECB30BE61A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02" name="Рисунок 2">
          <a:extLst>
            <a:ext uri="{FF2B5EF4-FFF2-40B4-BE49-F238E27FC236}">
              <a16:creationId xmlns:a16="http://schemas.microsoft.com/office/drawing/2014/main" xmlns="" id="{6866D98A-7AB2-4BD5-899A-6D0A52C50300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03" name="Рисунок 2">
          <a:extLst>
            <a:ext uri="{FF2B5EF4-FFF2-40B4-BE49-F238E27FC236}">
              <a16:creationId xmlns:a16="http://schemas.microsoft.com/office/drawing/2014/main" xmlns="" id="{2A92F01E-E67C-4F14-9A59-977DD1A25F0A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04" name="Рисунок 2">
          <a:extLst>
            <a:ext uri="{FF2B5EF4-FFF2-40B4-BE49-F238E27FC236}">
              <a16:creationId xmlns:a16="http://schemas.microsoft.com/office/drawing/2014/main" xmlns="" id="{CD6AF074-3705-4BAA-9CE8-F7494ABEF02A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05" name="Рисунок 2">
          <a:extLst>
            <a:ext uri="{FF2B5EF4-FFF2-40B4-BE49-F238E27FC236}">
              <a16:creationId xmlns:a16="http://schemas.microsoft.com/office/drawing/2014/main" xmlns="" id="{DF931341-5D75-4F80-9127-3D74E9494F82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06" name="Рисунок 2">
          <a:extLst>
            <a:ext uri="{FF2B5EF4-FFF2-40B4-BE49-F238E27FC236}">
              <a16:creationId xmlns:a16="http://schemas.microsoft.com/office/drawing/2014/main" xmlns="" id="{A1DAF8D4-CC5D-4B68-BE0D-3B3446E127B2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07" name="Рисунок 2">
          <a:extLst>
            <a:ext uri="{FF2B5EF4-FFF2-40B4-BE49-F238E27FC236}">
              <a16:creationId xmlns:a16="http://schemas.microsoft.com/office/drawing/2014/main" xmlns="" id="{0685AFEB-135E-461E-8466-0B1777989BE3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08" name="Рисунок 2">
          <a:extLst>
            <a:ext uri="{FF2B5EF4-FFF2-40B4-BE49-F238E27FC236}">
              <a16:creationId xmlns:a16="http://schemas.microsoft.com/office/drawing/2014/main" xmlns="" id="{D2B9678C-658D-46A2-AA60-0C7519D3E3F1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09" name="Рисунок 2">
          <a:extLst>
            <a:ext uri="{FF2B5EF4-FFF2-40B4-BE49-F238E27FC236}">
              <a16:creationId xmlns:a16="http://schemas.microsoft.com/office/drawing/2014/main" xmlns="" id="{68CE1667-5788-42DA-A6C5-7503C9BAFF98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10" name="Рисунок 2">
          <a:extLst>
            <a:ext uri="{FF2B5EF4-FFF2-40B4-BE49-F238E27FC236}">
              <a16:creationId xmlns:a16="http://schemas.microsoft.com/office/drawing/2014/main" xmlns="" id="{FD672D18-6426-411F-B8CA-C2959A35D5D4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11" name="Рисунок 2">
          <a:extLst>
            <a:ext uri="{FF2B5EF4-FFF2-40B4-BE49-F238E27FC236}">
              <a16:creationId xmlns:a16="http://schemas.microsoft.com/office/drawing/2014/main" xmlns="" id="{A4C8249D-4497-4E95-B2FC-FA779DB2E49E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12" name="Рисунок 2">
          <a:extLst>
            <a:ext uri="{FF2B5EF4-FFF2-40B4-BE49-F238E27FC236}">
              <a16:creationId xmlns:a16="http://schemas.microsoft.com/office/drawing/2014/main" xmlns="" id="{788A728F-0EFD-40E3-9753-D9A27580BB65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13" name="Рисунок 2">
          <a:extLst>
            <a:ext uri="{FF2B5EF4-FFF2-40B4-BE49-F238E27FC236}">
              <a16:creationId xmlns:a16="http://schemas.microsoft.com/office/drawing/2014/main" xmlns="" id="{810529D1-CDFE-4A9D-AB61-89613BA54360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14" name="Рисунок 2">
          <a:extLst>
            <a:ext uri="{FF2B5EF4-FFF2-40B4-BE49-F238E27FC236}">
              <a16:creationId xmlns:a16="http://schemas.microsoft.com/office/drawing/2014/main" xmlns="" id="{386838D3-CF88-4932-A2C7-1B74E0160B05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15" name="Рисунок 2">
          <a:extLst>
            <a:ext uri="{FF2B5EF4-FFF2-40B4-BE49-F238E27FC236}">
              <a16:creationId xmlns:a16="http://schemas.microsoft.com/office/drawing/2014/main" xmlns="" id="{E9E0F2D9-10BE-456B-8209-B54BA995BED4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16" name="Рисунок 2">
          <a:extLst>
            <a:ext uri="{FF2B5EF4-FFF2-40B4-BE49-F238E27FC236}">
              <a16:creationId xmlns:a16="http://schemas.microsoft.com/office/drawing/2014/main" xmlns="" id="{1ADE0B39-854B-466B-8C36-347FD79CC2A4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17" name="Рисунок 2">
          <a:extLst>
            <a:ext uri="{FF2B5EF4-FFF2-40B4-BE49-F238E27FC236}">
              <a16:creationId xmlns:a16="http://schemas.microsoft.com/office/drawing/2014/main" xmlns="" id="{6FFA5B96-599C-4521-BB1F-959B86EBF819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18" name="Рисунок 2">
          <a:extLst>
            <a:ext uri="{FF2B5EF4-FFF2-40B4-BE49-F238E27FC236}">
              <a16:creationId xmlns:a16="http://schemas.microsoft.com/office/drawing/2014/main" xmlns="" id="{9CCA2FBE-1678-4C42-A825-92730ECA0273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19" name="Рисунок 2">
          <a:extLst>
            <a:ext uri="{FF2B5EF4-FFF2-40B4-BE49-F238E27FC236}">
              <a16:creationId xmlns:a16="http://schemas.microsoft.com/office/drawing/2014/main" xmlns="" id="{1705918F-AB2B-428A-B5D8-9C227D94D255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20" name="Рисунок 2">
          <a:extLst>
            <a:ext uri="{FF2B5EF4-FFF2-40B4-BE49-F238E27FC236}">
              <a16:creationId xmlns:a16="http://schemas.microsoft.com/office/drawing/2014/main" xmlns="" id="{0CAF9EBA-8257-4877-B91F-0E7BFC05F191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21" name="Рисунок 2">
          <a:extLst>
            <a:ext uri="{FF2B5EF4-FFF2-40B4-BE49-F238E27FC236}">
              <a16:creationId xmlns:a16="http://schemas.microsoft.com/office/drawing/2014/main" xmlns="" id="{D24DE087-B33E-4AAC-B6AC-F3346276899C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22" name="Рисунок 2">
          <a:extLst>
            <a:ext uri="{FF2B5EF4-FFF2-40B4-BE49-F238E27FC236}">
              <a16:creationId xmlns:a16="http://schemas.microsoft.com/office/drawing/2014/main" xmlns="" id="{09499FBB-3267-4BA0-BD69-A8100C8BA9C4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23" name="Рисунок 2">
          <a:extLst>
            <a:ext uri="{FF2B5EF4-FFF2-40B4-BE49-F238E27FC236}">
              <a16:creationId xmlns:a16="http://schemas.microsoft.com/office/drawing/2014/main" xmlns="" id="{81ECE524-8DB6-431F-A3A0-3EB68A0502DF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24" name="Рисунок 2">
          <a:extLst>
            <a:ext uri="{FF2B5EF4-FFF2-40B4-BE49-F238E27FC236}">
              <a16:creationId xmlns:a16="http://schemas.microsoft.com/office/drawing/2014/main" xmlns="" id="{FAED38EE-C1E4-4A59-B851-956D9D7A8B20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25" name="Рисунок 2">
          <a:extLst>
            <a:ext uri="{FF2B5EF4-FFF2-40B4-BE49-F238E27FC236}">
              <a16:creationId xmlns:a16="http://schemas.microsoft.com/office/drawing/2014/main" xmlns="" id="{9CD6FEC2-18B2-42EB-BEB0-F199586AE25B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26" name="Рисунок 2">
          <a:extLst>
            <a:ext uri="{FF2B5EF4-FFF2-40B4-BE49-F238E27FC236}">
              <a16:creationId xmlns:a16="http://schemas.microsoft.com/office/drawing/2014/main" xmlns="" id="{15D71C5A-CCF4-40CB-8D1E-3D400CA2BF1D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27" name="Рисунок 2">
          <a:extLst>
            <a:ext uri="{FF2B5EF4-FFF2-40B4-BE49-F238E27FC236}">
              <a16:creationId xmlns:a16="http://schemas.microsoft.com/office/drawing/2014/main" xmlns="" id="{F26383D6-B170-4733-A6BA-6BBA18C66BA1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28" name="Рисунок 2">
          <a:extLst>
            <a:ext uri="{FF2B5EF4-FFF2-40B4-BE49-F238E27FC236}">
              <a16:creationId xmlns:a16="http://schemas.microsoft.com/office/drawing/2014/main" xmlns="" id="{583D9013-A328-4FD2-9739-222EF215DA7B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29" name="Рисунок 2">
          <a:extLst>
            <a:ext uri="{FF2B5EF4-FFF2-40B4-BE49-F238E27FC236}">
              <a16:creationId xmlns:a16="http://schemas.microsoft.com/office/drawing/2014/main" xmlns="" id="{BE5AD30C-633E-4A79-A9B3-CAC586509934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30" name="Рисунок 2">
          <a:extLst>
            <a:ext uri="{FF2B5EF4-FFF2-40B4-BE49-F238E27FC236}">
              <a16:creationId xmlns:a16="http://schemas.microsoft.com/office/drawing/2014/main" xmlns="" id="{05C515C8-1B7F-470C-9926-6C0ABE52E6FE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31" name="Рисунок 2">
          <a:extLst>
            <a:ext uri="{FF2B5EF4-FFF2-40B4-BE49-F238E27FC236}">
              <a16:creationId xmlns:a16="http://schemas.microsoft.com/office/drawing/2014/main" xmlns="" id="{480AE95C-0E33-43F2-9891-9FFB6FB461AE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32" name="Рисунок 2">
          <a:extLst>
            <a:ext uri="{FF2B5EF4-FFF2-40B4-BE49-F238E27FC236}">
              <a16:creationId xmlns:a16="http://schemas.microsoft.com/office/drawing/2014/main" xmlns="" id="{8907C333-CE43-43EF-97F1-DB394190E176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33" name="Рисунок 2">
          <a:extLst>
            <a:ext uri="{FF2B5EF4-FFF2-40B4-BE49-F238E27FC236}">
              <a16:creationId xmlns:a16="http://schemas.microsoft.com/office/drawing/2014/main" xmlns="" id="{F84C95C4-E3D1-4513-B18A-FD960DCCA466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34" name="Рисунок 2">
          <a:extLst>
            <a:ext uri="{FF2B5EF4-FFF2-40B4-BE49-F238E27FC236}">
              <a16:creationId xmlns:a16="http://schemas.microsoft.com/office/drawing/2014/main" xmlns="" id="{39F16F25-810B-4CB4-BF17-9E50B28AF74D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35" name="Рисунок 2">
          <a:extLst>
            <a:ext uri="{FF2B5EF4-FFF2-40B4-BE49-F238E27FC236}">
              <a16:creationId xmlns:a16="http://schemas.microsoft.com/office/drawing/2014/main" xmlns="" id="{EF728BB8-A26E-4997-82E8-6A100C5E1FE9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36" name="Рисунок 2">
          <a:extLst>
            <a:ext uri="{FF2B5EF4-FFF2-40B4-BE49-F238E27FC236}">
              <a16:creationId xmlns:a16="http://schemas.microsoft.com/office/drawing/2014/main" xmlns="" id="{88B2DFE6-6825-4672-973D-F21EDC0FEF42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37" name="Рисунок 2">
          <a:extLst>
            <a:ext uri="{FF2B5EF4-FFF2-40B4-BE49-F238E27FC236}">
              <a16:creationId xmlns:a16="http://schemas.microsoft.com/office/drawing/2014/main" xmlns="" id="{96506EB7-9976-4BC8-9C87-AAD4DB44B080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38" name="Рисунок 2">
          <a:extLst>
            <a:ext uri="{FF2B5EF4-FFF2-40B4-BE49-F238E27FC236}">
              <a16:creationId xmlns:a16="http://schemas.microsoft.com/office/drawing/2014/main" xmlns="" id="{634D1930-3C80-4B6A-85D6-2D348C733A27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39" name="Рисунок 2">
          <a:extLst>
            <a:ext uri="{FF2B5EF4-FFF2-40B4-BE49-F238E27FC236}">
              <a16:creationId xmlns:a16="http://schemas.microsoft.com/office/drawing/2014/main" xmlns="" id="{153D2917-E782-4D5D-AB0F-A5421B23CA8E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40" name="Рисунок 2">
          <a:extLst>
            <a:ext uri="{FF2B5EF4-FFF2-40B4-BE49-F238E27FC236}">
              <a16:creationId xmlns:a16="http://schemas.microsoft.com/office/drawing/2014/main" xmlns="" id="{E0A07E86-F18A-4222-A20B-060D2C3EE2EB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314325</xdr:colOff>
      <xdr:row>25</xdr:row>
      <xdr:rowOff>66675</xdr:rowOff>
    </xdr:from>
    <xdr:to>
      <xdr:col>10</xdr:col>
      <xdr:colOff>400050</xdr:colOff>
      <xdr:row>37</xdr:row>
      <xdr:rowOff>123825</xdr:rowOff>
    </xdr:to>
    <xdr:pic>
      <xdr:nvPicPr>
        <xdr:cNvPr id="241" name="Рисунок 242">
          <a:extLst>
            <a:ext uri="{FF2B5EF4-FFF2-40B4-BE49-F238E27FC236}">
              <a16:creationId xmlns:a16="http://schemas.microsoft.com/office/drawing/2014/main" xmlns="" id="{745B279D-AFA4-4F12-B98E-2854F573E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525" y="4829175"/>
          <a:ext cx="4962525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42" name="Рисунок 2">
          <a:extLst>
            <a:ext uri="{FF2B5EF4-FFF2-40B4-BE49-F238E27FC236}">
              <a16:creationId xmlns:a16="http://schemas.microsoft.com/office/drawing/2014/main" xmlns="" id="{F2A00092-7685-46D3-A63D-09EB85C9587B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43" name="Рисунок 2">
          <a:extLst>
            <a:ext uri="{FF2B5EF4-FFF2-40B4-BE49-F238E27FC236}">
              <a16:creationId xmlns:a16="http://schemas.microsoft.com/office/drawing/2014/main" xmlns="" id="{6164421F-E0FB-44E2-AE41-572B1FF35BB8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44" name="Рисунок 2">
          <a:extLst>
            <a:ext uri="{FF2B5EF4-FFF2-40B4-BE49-F238E27FC236}">
              <a16:creationId xmlns:a16="http://schemas.microsoft.com/office/drawing/2014/main" xmlns="" id="{67A7B3A5-5B84-4242-91A7-2FE44AB3D3A8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45" name="Рисунок 2">
          <a:extLst>
            <a:ext uri="{FF2B5EF4-FFF2-40B4-BE49-F238E27FC236}">
              <a16:creationId xmlns:a16="http://schemas.microsoft.com/office/drawing/2014/main" xmlns="" id="{A5BA4AB6-FDCA-4B8A-A124-24DED6BF74C5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46" name="Рисунок 2">
          <a:extLst>
            <a:ext uri="{FF2B5EF4-FFF2-40B4-BE49-F238E27FC236}">
              <a16:creationId xmlns:a16="http://schemas.microsoft.com/office/drawing/2014/main" xmlns="" id="{02F9F469-C41E-447C-AC07-4C70611EA2F8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47" name="Рисунок 2">
          <a:extLst>
            <a:ext uri="{FF2B5EF4-FFF2-40B4-BE49-F238E27FC236}">
              <a16:creationId xmlns:a16="http://schemas.microsoft.com/office/drawing/2014/main" xmlns="" id="{E497DCAF-6A74-48AF-B5F2-09607EDA15FF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48" name="Рисунок 2">
          <a:extLst>
            <a:ext uri="{FF2B5EF4-FFF2-40B4-BE49-F238E27FC236}">
              <a16:creationId xmlns:a16="http://schemas.microsoft.com/office/drawing/2014/main" xmlns="" id="{A2B121E8-CDCB-4332-AA73-C5A15159350A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49" name="Рисунок 2">
          <a:extLst>
            <a:ext uri="{FF2B5EF4-FFF2-40B4-BE49-F238E27FC236}">
              <a16:creationId xmlns:a16="http://schemas.microsoft.com/office/drawing/2014/main" xmlns="" id="{10B59A12-FDC1-42CF-A172-2F3CCD26440C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50" name="Рисунок 2">
          <a:extLst>
            <a:ext uri="{FF2B5EF4-FFF2-40B4-BE49-F238E27FC236}">
              <a16:creationId xmlns:a16="http://schemas.microsoft.com/office/drawing/2014/main" xmlns="" id="{343C8EB7-D2F1-48F2-AA10-F086E2E37D58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51" name="Рисунок 2">
          <a:extLst>
            <a:ext uri="{FF2B5EF4-FFF2-40B4-BE49-F238E27FC236}">
              <a16:creationId xmlns:a16="http://schemas.microsoft.com/office/drawing/2014/main" xmlns="" id="{9FD1DE5E-F0D0-4795-BF2C-89395FAE2B38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52" name="Рисунок 2">
          <a:extLst>
            <a:ext uri="{FF2B5EF4-FFF2-40B4-BE49-F238E27FC236}">
              <a16:creationId xmlns:a16="http://schemas.microsoft.com/office/drawing/2014/main" xmlns="" id="{28555701-0DD5-4BE9-8A2A-0689BF0CD5F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53" name="Рисунок 2">
          <a:extLst>
            <a:ext uri="{FF2B5EF4-FFF2-40B4-BE49-F238E27FC236}">
              <a16:creationId xmlns:a16="http://schemas.microsoft.com/office/drawing/2014/main" xmlns="" id="{6E5371B5-B129-4BE5-9A63-37730D01B699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54" name="Рисунок 2">
          <a:extLst>
            <a:ext uri="{FF2B5EF4-FFF2-40B4-BE49-F238E27FC236}">
              <a16:creationId xmlns:a16="http://schemas.microsoft.com/office/drawing/2014/main" xmlns="" id="{8FEF9A9A-209F-42D1-A1D8-04E0D271BBB3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55" name="Рисунок 2">
          <a:extLst>
            <a:ext uri="{FF2B5EF4-FFF2-40B4-BE49-F238E27FC236}">
              <a16:creationId xmlns:a16="http://schemas.microsoft.com/office/drawing/2014/main" xmlns="" id="{F1CFF9A4-8E83-41E1-8880-246BA25DB822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56" name="Рисунок 2">
          <a:extLst>
            <a:ext uri="{FF2B5EF4-FFF2-40B4-BE49-F238E27FC236}">
              <a16:creationId xmlns:a16="http://schemas.microsoft.com/office/drawing/2014/main" xmlns="" id="{F764B87D-14BD-4D7E-9601-52457151BA3A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57" name="Рисунок 2">
          <a:extLst>
            <a:ext uri="{FF2B5EF4-FFF2-40B4-BE49-F238E27FC236}">
              <a16:creationId xmlns:a16="http://schemas.microsoft.com/office/drawing/2014/main" xmlns="" id="{F6A5FD5E-BFB3-4764-88F8-8B41BB9D0125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58" name="Рисунок 2">
          <a:extLst>
            <a:ext uri="{FF2B5EF4-FFF2-40B4-BE49-F238E27FC236}">
              <a16:creationId xmlns:a16="http://schemas.microsoft.com/office/drawing/2014/main" xmlns="" id="{28DA30DE-DC3A-45FE-A8FA-550B8D52A9C4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59" name="Рисунок 2">
          <a:extLst>
            <a:ext uri="{FF2B5EF4-FFF2-40B4-BE49-F238E27FC236}">
              <a16:creationId xmlns:a16="http://schemas.microsoft.com/office/drawing/2014/main" xmlns="" id="{3BF90C54-4671-4B3B-A269-1601A7962E7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60" name="Рисунок 2">
          <a:extLst>
            <a:ext uri="{FF2B5EF4-FFF2-40B4-BE49-F238E27FC236}">
              <a16:creationId xmlns:a16="http://schemas.microsoft.com/office/drawing/2014/main" xmlns="" id="{FDDA56E0-7ED4-4C07-AA0E-4EE3B1C2540A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61" name="Рисунок 2">
          <a:extLst>
            <a:ext uri="{FF2B5EF4-FFF2-40B4-BE49-F238E27FC236}">
              <a16:creationId xmlns:a16="http://schemas.microsoft.com/office/drawing/2014/main" xmlns="" id="{56D66D1F-63BB-4422-8AC5-73C983FDC0C4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62" name="Рисунок 2">
          <a:extLst>
            <a:ext uri="{FF2B5EF4-FFF2-40B4-BE49-F238E27FC236}">
              <a16:creationId xmlns:a16="http://schemas.microsoft.com/office/drawing/2014/main" xmlns="" id="{DAF67455-9C7F-431B-BB3D-6587FA90EA0B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63" name="Рисунок 2">
          <a:extLst>
            <a:ext uri="{FF2B5EF4-FFF2-40B4-BE49-F238E27FC236}">
              <a16:creationId xmlns:a16="http://schemas.microsoft.com/office/drawing/2014/main" xmlns="" id="{1411D0F9-CB77-4AA0-971A-3471A62E2E03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64" name="Рисунок 2">
          <a:extLst>
            <a:ext uri="{FF2B5EF4-FFF2-40B4-BE49-F238E27FC236}">
              <a16:creationId xmlns:a16="http://schemas.microsoft.com/office/drawing/2014/main" xmlns="" id="{A95CFFFF-8CBD-4755-B157-89D967897AD3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65" name="Рисунок 2">
          <a:extLst>
            <a:ext uri="{FF2B5EF4-FFF2-40B4-BE49-F238E27FC236}">
              <a16:creationId xmlns:a16="http://schemas.microsoft.com/office/drawing/2014/main" xmlns="" id="{48702CA8-C50B-46D9-9BCC-1204D2EA2F63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66" name="Рисунок 2">
          <a:extLst>
            <a:ext uri="{FF2B5EF4-FFF2-40B4-BE49-F238E27FC236}">
              <a16:creationId xmlns:a16="http://schemas.microsoft.com/office/drawing/2014/main" xmlns="" id="{7957EE3B-8FED-4407-A73A-741CDFF1B676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67" name="Рисунок 2">
          <a:extLst>
            <a:ext uri="{FF2B5EF4-FFF2-40B4-BE49-F238E27FC236}">
              <a16:creationId xmlns:a16="http://schemas.microsoft.com/office/drawing/2014/main" xmlns="" id="{1CD3236B-D3C0-451C-A09A-5B1EF6120C07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68" name="Рисунок 2">
          <a:extLst>
            <a:ext uri="{FF2B5EF4-FFF2-40B4-BE49-F238E27FC236}">
              <a16:creationId xmlns:a16="http://schemas.microsoft.com/office/drawing/2014/main" xmlns="" id="{B2F0CCAD-E220-4F18-8609-A04C77FA346D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69" name="Рисунок 2">
          <a:extLst>
            <a:ext uri="{FF2B5EF4-FFF2-40B4-BE49-F238E27FC236}">
              <a16:creationId xmlns:a16="http://schemas.microsoft.com/office/drawing/2014/main" xmlns="" id="{4B7066C6-8C4E-47EE-878A-2C6E3884C701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70" name="Рисунок 2">
          <a:extLst>
            <a:ext uri="{FF2B5EF4-FFF2-40B4-BE49-F238E27FC236}">
              <a16:creationId xmlns:a16="http://schemas.microsoft.com/office/drawing/2014/main" xmlns="" id="{68478812-82D8-4280-A608-4CB61472AA0F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71" name="Рисунок 2">
          <a:extLst>
            <a:ext uri="{FF2B5EF4-FFF2-40B4-BE49-F238E27FC236}">
              <a16:creationId xmlns:a16="http://schemas.microsoft.com/office/drawing/2014/main" xmlns="" id="{BDA498D4-9F65-4EC8-A347-72F9D33274B6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72" name="Рисунок 2">
          <a:extLst>
            <a:ext uri="{FF2B5EF4-FFF2-40B4-BE49-F238E27FC236}">
              <a16:creationId xmlns:a16="http://schemas.microsoft.com/office/drawing/2014/main" xmlns="" id="{B235A928-9597-4D21-BB32-BC0F1D0A1B44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73" name="Рисунок 2">
          <a:extLst>
            <a:ext uri="{FF2B5EF4-FFF2-40B4-BE49-F238E27FC236}">
              <a16:creationId xmlns:a16="http://schemas.microsoft.com/office/drawing/2014/main" xmlns="" id="{B0CD905A-9DF2-44DA-B59C-6A3D791EF179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274" name="Рисунок 2">
          <a:extLst>
            <a:ext uri="{FF2B5EF4-FFF2-40B4-BE49-F238E27FC236}">
              <a16:creationId xmlns:a16="http://schemas.microsoft.com/office/drawing/2014/main" xmlns="" id="{7EEF6394-AFBD-4E60-8FCE-97D3189AC487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275" name="Рисунок 2">
          <a:extLst>
            <a:ext uri="{FF2B5EF4-FFF2-40B4-BE49-F238E27FC236}">
              <a16:creationId xmlns:a16="http://schemas.microsoft.com/office/drawing/2014/main" xmlns="" id="{7D300A49-AE5A-40E7-8026-EB0F05056FF8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276" name="Рисунок 2">
          <a:extLst>
            <a:ext uri="{FF2B5EF4-FFF2-40B4-BE49-F238E27FC236}">
              <a16:creationId xmlns:a16="http://schemas.microsoft.com/office/drawing/2014/main" xmlns="" id="{50F1D789-2124-4EDF-8CF6-FA390079AD02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277" name="Рисунок 2">
          <a:extLst>
            <a:ext uri="{FF2B5EF4-FFF2-40B4-BE49-F238E27FC236}">
              <a16:creationId xmlns:a16="http://schemas.microsoft.com/office/drawing/2014/main" xmlns="" id="{59FA85CE-7074-47D7-90FD-C9A5CCDB4254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278" name="Рисунок 2">
          <a:extLst>
            <a:ext uri="{FF2B5EF4-FFF2-40B4-BE49-F238E27FC236}">
              <a16:creationId xmlns:a16="http://schemas.microsoft.com/office/drawing/2014/main" xmlns="" id="{BCF778BB-B5F0-4C26-8316-94F8243E2000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279" name="Рисунок 2">
          <a:extLst>
            <a:ext uri="{FF2B5EF4-FFF2-40B4-BE49-F238E27FC236}">
              <a16:creationId xmlns:a16="http://schemas.microsoft.com/office/drawing/2014/main" xmlns="" id="{3D7D3BEF-3D5D-40D2-8539-0A8488C1FA6D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280" name="Рисунок 2">
          <a:extLst>
            <a:ext uri="{FF2B5EF4-FFF2-40B4-BE49-F238E27FC236}">
              <a16:creationId xmlns:a16="http://schemas.microsoft.com/office/drawing/2014/main" xmlns="" id="{EBC19D62-2B66-4665-896C-22F3E92DAAD9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281" name="Рисунок 2">
          <a:extLst>
            <a:ext uri="{FF2B5EF4-FFF2-40B4-BE49-F238E27FC236}">
              <a16:creationId xmlns:a16="http://schemas.microsoft.com/office/drawing/2014/main" xmlns="" id="{1CA5D28F-3D11-4E64-A6E1-138FA2F3A2F8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282" name="Рисунок 2">
          <a:extLst>
            <a:ext uri="{FF2B5EF4-FFF2-40B4-BE49-F238E27FC236}">
              <a16:creationId xmlns:a16="http://schemas.microsoft.com/office/drawing/2014/main" xmlns="" id="{6FDEB11B-4E21-4108-A2C9-B2A92F3C4BB2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283" name="Рисунок 2">
          <a:extLst>
            <a:ext uri="{FF2B5EF4-FFF2-40B4-BE49-F238E27FC236}">
              <a16:creationId xmlns:a16="http://schemas.microsoft.com/office/drawing/2014/main" xmlns="" id="{B4400DCF-3390-42C5-97E9-3BD10DD90D8A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284" name="Рисунок 2">
          <a:extLst>
            <a:ext uri="{FF2B5EF4-FFF2-40B4-BE49-F238E27FC236}">
              <a16:creationId xmlns:a16="http://schemas.microsoft.com/office/drawing/2014/main" xmlns="" id="{CD84234F-2792-4E8C-B7F8-405F73341668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285" name="Рисунок 2">
          <a:extLst>
            <a:ext uri="{FF2B5EF4-FFF2-40B4-BE49-F238E27FC236}">
              <a16:creationId xmlns:a16="http://schemas.microsoft.com/office/drawing/2014/main" xmlns="" id="{8A59C731-07AF-400F-B81A-A820F6CC6ABC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286" name="Рисунок 2">
          <a:extLst>
            <a:ext uri="{FF2B5EF4-FFF2-40B4-BE49-F238E27FC236}">
              <a16:creationId xmlns:a16="http://schemas.microsoft.com/office/drawing/2014/main" xmlns="" id="{8A3FC5A1-7B15-479A-B7F1-03701D36608B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287" name="Рисунок 2">
          <a:extLst>
            <a:ext uri="{FF2B5EF4-FFF2-40B4-BE49-F238E27FC236}">
              <a16:creationId xmlns:a16="http://schemas.microsoft.com/office/drawing/2014/main" xmlns="" id="{B1DDFBD3-FC9E-4D67-AF84-1467FD75C5BB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288" name="Рисунок 2">
          <a:extLst>
            <a:ext uri="{FF2B5EF4-FFF2-40B4-BE49-F238E27FC236}">
              <a16:creationId xmlns:a16="http://schemas.microsoft.com/office/drawing/2014/main" xmlns="" id="{8BC47730-F93F-4BC6-93E6-E72314E058AF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289" name="Рисунок 2">
          <a:extLst>
            <a:ext uri="{FF2B5EF4-FFF2-40B4-BE49-F238E27FC236}">
              <a16:creationId xmlns:a16="http://schemas.microsoft.com/office/drawing/2014/main" xmlns="" id="{15DEB969-0244-4DE8-B87C-8C9002625388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290" name="Рисунок 2">
          <a:extLst>
            <a:ext uri="{FF2B5EF4-FFF2-40B4-BE49-F238E27FC236}">
              <a16:creationId xmlns:a16="http://schemas.microsoft.com/office/drawing/2014/main" xmlns="" id="{D8FE746E-40CA-4033-A736-479CC7105AA6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291" name="Рисунок 2">
          <a:extLst>
            <a:ext uri="{FF2B5EF4-FFF2-40B4-BE49-F238E27FC236}">
              <a16:creationId xmlns:a16="http://schemas.microsoft.com/office/drawing/2014/main" xmlns="" id="{1BDBC0CF-AFBA-4985-873D-0C8E8EE833BC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292" name="Рисунок 2">
          <a:extLst>
            <a:ext uri="{FF2B5EF4-FFF2-40B4-BE49-F238E27FC236}">
              <a16:creationId xmlns:a16="http://schemas.microsoft.com/office/drawing/2014/main" xmlns="" id="{68102512-F1F8-437B-9097-81F329743248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293" name="Рисунок 2">
          <a:extLst>
            <a:ext uri="{FF2B5EF4-FFF2-40B4-BE49-F238E27FC236}">
              <a16:creationId xmlns:a16="http://schemas.microsoft.com/office/drawing/2014/main" xmlns="" id="{26F03554-D3EB-495D-9CC4-D11ECB2794FC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294" name="Рисунок 2">
          <a:extLst>
            <a:ext uri="{FF2B5EF4-FFF2-40B4-BE49-F238E27FC236}">
              <a16:creationId xmlns:a16="http://schemas.microsoft.com/office/drawing/2014/main" xmlns="" id="{93D9CAA4-21DF-476C-A384-618E076CAA97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295" name="Рисунок 2">
          <a:extLst>
            <a:ext uri="{FF2B5EF4-FFF2-40B4-BE49-F238E27FC236}">
              <a16:creationId xmlns:a16="http://schemas.microsoft.com/office/drawing/2014/main" xmlns="" id="{EB10A47F-42B3-41FE-B424-A46E1701AE04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296" name="Рисунок 2">
          <a:extLst>
            <a:ext uri="{FF2B5EF4-FFF2-40B4-BE49-F238E27FC236}">
              <a16:creationId xmlns:a16="http://schemas.microsoft.com/office/drawing/2014/main" xmlns="" id="{65CE522D-9F4C-48BE-A4E9-8C4B56335927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297" name="Рисунок 2">
          <a:extLst>
            <a:ext uri="{FF2B5EF4-FFF2-40B4-BE49-F238E27FC236}">
              <a16:creationId xmlns:a16="http://schemas.microsoft.com/office/drawing/2014/main" xmlns="" id="{CEDC5762-DEA6-439C-B964-54BA11FEF6A0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298" name="Рисунок 2">
          <a:extLst>
            <a:ext uri="{FF2B5EF4-FFF2-40B4-BE49-F238E27FC236}">
              <a16:creationId xmlns:a16="http://schemas.microsoft.com/office/drawing/2014/main" xmlns="" id="{65B1B56B-3A10-4CE0-BCFA-9C1B2CAD8DA0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299" name="Рисунок 2">
          <a:extLst>
            <a:ext uri="{FF2B5EF4-FFF2-40B4-BE49-F238E27FC236}">
              <a16:creationId xmlns:a16="http://schemas.microsoft.com/office/drawing/2014/main" xmlns="" id="{5EBBD202-81D8-4F08-AA71-4920607893AE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00" name="Рисунок 2">
          <a:extLst>
            <a:ext uri="{FF2B5EF4-FFF2-40B4-BE49-F238E27FC236}">
              <a16:creationId xmlns:a16="http://schemas.microsoft.com/office/drawing/2014/main" xmlns="" id="{7F92B43D-DB63-4643-9726-366A9A05A169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01" name="Рисунок 2">
          <a:extLst>
            <a:ext uri="{FF2B5EF4-FFF2-40B4-BE49-F238E27FC236}">
              <a16:creationId xmlns:a16="http://schemas.microsoft.com/office/drawing/2014/main" xmlns="" id="{302B51B9-FE44-449E-9FD0-4D05D2E76988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02" name="Рисунок 2">
          <a:extLst>
            <a:ext uri="{FF2B5EF4-FFF2-40B4-BE49-F238E27FC236}">
              <a16:creationId xmlns:a16="http://schemas.microsoft.com/office/drawing/2014/main" xmlns="" id="{F3A75C82-9527-490E-AAE3-C9796647D3FC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03" name="Рисунок 2">
          <a:extLst>
            <a:ext uri="{FF2B5EF4-FFF2-40B4-BE49-F238E27FC236}">
              <a16:creationId xmlns:a16="http://schemas.microsoft.com/office/drawing/2014/main" xmlns="" id="{64B775FA-FFE8-4014-B529-7904C7003567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04" name="Рисунок 2">
          <a:extLst>
            <a:ext uri="{FF2B5EF4-FFF2-40B4-BE49-F238E27FC236}">
              <a16:creationId xmlns:a16="http://schemas.microsoft.com/office/drawing/2014/main" xmlns="" id="{34A9BD59-C928-4C61-9B52-BD9CFA99D5A6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05" name="Рисунок 2">
          <a:extLst>
            <a:ext uri="{FF2B5EF4-FFF2-40B4-BE49-F238E27FC236}">
              <a16:creationId xmlns:a16="http://schemas.microsoft.com/office/drawing/2014/main" xmlns="" id="{40B209F0-540D-4941-AB25-AB8FDC7F52CB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06" name="Рисунок 2">
          <a:extLst>
            <a:ext uri="{FF2B5EF4-FFF2-40B4-BE49-F238E27FC236}">
              <a16:creationId xmlns:a16="http://schemas.microsoft.com/office/drawing/2014/main" xmlns="" id="{5D48BF44-329C-4F8E-ACEA-3CA9BD7CF707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07" name="Рисунок 2">
          <a:extLst>
            <a:ext uri="{FF2B5EF4-FFF2-40B4-BE49-F238E27FC236}">
              <a16:creationId xmlns:a16="http://schemas.microsoft.com/office/drawing/2014/main" xmlns="" id="{A0FD0640-D41F-4C56-81B9-A9355F58590E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08" name="Рисунок 2">
          <a:extLst>
            <a:ext uri="{FF2B5EF4-FFF2-40B4-BE49-F238E27FC236}">
              <a16:creationId xmlns:a16="http://schemas.microsoft.com/office/drawing/2014/main" xmlns="" id="{66E5AECE-10A4-4201-875C-3320D34DE494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09" name="Рисунок 2">
          <a:extLst>
            <a:ext uri="{FF2B5EF4-FFF2-40B4-BE49-F238E27FC236}">
              <a16:creationId xmlns:a16="http://schemas.microsoft.com/office/drawing/2014/main" xmlns="" id="{782A5CD5-913D-4068-B2ED-A581A2A21309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10" name="Рисунок 2">
          <a:extLst>
            <a:ext uri="{FF2B5EF4-FFF2-40B4-BE49-F238E27FC236}">
              <a16:creationId xmlns:a16="http://schemas.microsoft.com/office/drawing/2014/main" xmlns="" id="{7382043D-C0A9-4858-AEFC-1704E946D079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11" name="Рисунок 2">
          <a:extLst>
            <a:ext uri="{FF2B5EF4-FFF2-40B4-BE49-F238E27FC236}">
              <a16:creationId xmlns:a16="http://schemas.microsoft.com/office/drawing/2014/main" xmlns="" id="{F240B2FC-B578-4941-BC65-F31AA40C9B1E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12" name="Рисунок 2">
          <a:extLst>
            <a:ext uri="{FF2B5EF4-FFF2-40B4-BE49-F238E27FC236}">
              <a16:creationId xmlns:a16="http://schemas.microsoft.com/office/drawing/2014/main" xmlns="" id="{BF062FE7-7D8C-4EE7-B7A1-CB5836A7D3AC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13" name="Рисунок 2">
          <a:extLst>
            <a:ext uri="{FF2B5EF4-FFF2-40B4-BE49-F238E27FC236}">
              <a16:creationId xmlns:a16="http://schemas.microsoft.com/office/drawing/2014/main" xmlns="" id="{AB21B3F9-B515-47C1-AB02-FCE10FE0991E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14" name="Рисунок 2">
          <a:extLst>
            <a:ext uri="{FF2B5EF4-FFF2-40B4-BE49-F238E27FC236}">
              <a16:creationId xmlns:a16="http://schemas.microsoft.com/office/drawing/2014/main" xmlns="" id="{6731C511-4088-4DE0-95BB-EAE1F386884F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15" name="Рисунок 2">
          <a:extLst>
            <a:ext uri="{FF2B5EF4-FFF2-40B4-BE49-F238E27FC236}">
              <a16:creationId xmlns:a16="http://schemas.microsoft.com/office/drawing/2014/main" xmlns="" id="{5627CEEC-4DFC-4CB9-A910-131B640BAF40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16" name="Рисунок 2">
          <a:extLst>
            <a:ext uri="{FF2B5EF4-FFF2-40B4-BE49-F238E27FC236}">
              <a16:creationId xmlns:a16="http://schemas.microsoft.com/office/drawing/2014/main" xmlns="" id="{83883FBF-CD11-4FC9-8A40-9B5F408E71CB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17" name="Рисунок 2">
          <a:extLst>
            <a:ext uri="{FF2B5EF4-FFF2-40B4-BE49-F238E27FC236}">
              <a16:creationId xmlns:a16="http://schemas.microsoft.com/office/drawing/2014/main" xmlns="" id="{FFFB4793-A82D-46AA-947D-030DE0D9705B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18" name="Рисунок 2">
          <a:extLst>
            <a:ext uri="{FF2B5EF4-FFF2-40B4-BE49-F238E27FC236}">
              <a16:creationId xmlns:a16="http://schemas.microsoft.com/office/drawing/2014/main" xmlns="" id="{66DC36E3-8210-4CDF-8B8D-8AFA3223D7AC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19" name="Рисунок 2">
          <a:extLst>
            <a:ext uri="{FF2B5EF4-FFF2-40B4-BE49-F238E27FC236}">
              <a16:creationId xmlns:a16="http://schemas.microsoft.com/office/drawing/2014/main" xmlns="" id="{6D7F4C10-2DAF-4781-9D90-60B880E45339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320" name="Рисунок 2">
          <a:extLst>
            <a:ext uri="{FF2B5EF4-FFF2-40B4-BE49-F238E27FC236}">
              <a16:creationId xmlns:a16="http://schemas.microsoft.com/office/drawing/2014/main" xmlns="" id="{4A26FD9F-2B11-464E-BAB8-93C7C9016FB8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21" name="Рисунок 2">
          <a:extLst>
            <a:ext uri="{FF2B5EF4-FFF2-40B4-BE49-F238E27FC236}">
              <a16:creationId xmlns:a16="http://schemas.microsoft.com/office/drawing/2014/main" xmlns="" id="{549471D7-ECC6-4885-BFF1-323C0B0F744B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22" name="Рисунок 2">
          <a:extLst>
            <a:ext uri="{FF2B5EF4-FFF2-40B4-BE49-F238E27FC236}">
              <a16:creationId xmlns:a16="http://schemas.microsoft.com/office/drawing/2014/main" xmlns="" id="{85DDE65D-CD03-4514-AEC4-F3474C39058A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23" name="Рисунок 2">
          <a:extLst>
            <a:ext uri="{FF2B5EF4-FFF2-40B4-BE49-F238E27FC236}">
              <a16:creationId xmlns:a16="http://schemas.microsoft.com/office/drawing/2014/main" xmlns="" id="{38C4CC23-B96A-4431-A9E3-4047D4254693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24" name="Рисунок 2">
          <a:extLst>
            <a:ext uri="{FF2B5EF4-FFF2-40B4-BE49-F238E27FC236}">
              <a16:creationId xmlns:a16="http://schemas.microsoft.com/office/drawing/2014/main" xmlns="" id="{45DDF867-71C3-484D-9EF5-C6ABE0D27708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25" name="Рисунок 2">
          <a:extLst>
            <a:ext uri="{FF2B5EF4-FFF2-40B4-BE49-F238E27FC236}">
              <a16:creationId xmlns:a16="http://schemas.microsoft.com/office/drawing/2014/main" xmlns="" id="{01A60502-8694-4613-8E36-1CF51F0539FB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26" name="Рисунок 2">
          <a:extLst>
            <a:ext uri="{FF2B5EF4-FFF2-40B4-BE49-F238E27FC236}">
              <a16:creationId xmlns:a16="http://schemas.microsoft.com/office/drawing/2014/main" xmlns="" id="{BF762106-50E1-4EE1-B698-58F8427495A0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27" name="Рисунок 2">
          <a:extLst>
            <a:ext uri="{FF2B5EF4-FFF2-40B4-BE49-F238E27FC236}">
              <a16:creationId xmlns:a16="http://schemas.microsoft.com/office/drawing/2014/main" xmlns="" id="{1BA5C9E3-02A2-4B79-AA67-D3FA90EAC7EE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28" name="Рисунок 2">
          <a:extLst>
            <a:ext uri="{FF2B5EF4-FFF2-40B4-BE49-F238E27FC236}">
              <a16:creationId xmlns:a16="http://schemas.microsoft.com/office/drawing/2014/main" xmlns="" id="{76FE1497-27C2-419E-B33B-E973B5B2BC02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29" name="Рисунок 2">
          <a:extLst>
            <a:ext uri="{FF2B5EF4-FFF2-40B4-BE49-F238E27FC236}">
              <a16:creationId xmlns:a16="http://schemas.microsoft.com/office/drawing/2014/main" xmlns="" id="{1EA2B3CC-1E6A-4445-B171-84817BCDE514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30" name="Рисунок 2">
          <a:extLst>
            <a:ext uri="{FF2B5EF4-FFF2-40B4-BE49-F238E27FC236}">
              <a16:creationId xmlns:a16="http://schemas.microsoft.com/office/drawing/2014/main" xmlns="" id="{92597AFE-C3A4-4121-8FF2-C63D59881297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31" name="Рисунок 2">
          <a:extLst>
            <a:ext uri="{FF2B5EF4-FFF2-40B4-BE49-F238E27FC236}">
              <a16:creationId xmlns:a16="http://schemas.microsoft.com/office/drawing/2014/main" xmlns="" id="{09C453F7-0CE9-4E43-929D-5CD5291A5697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32" name="Рисунок 2">
          <a:extLst>
            <a:ext uri="{FF2B5EF4-FFF2-40B4-BE49-F238E27FC236}">
              <a16:creationId xmlns:a16="http://schemas.microsoft.com/office/drawing/2014/main" xmlns="" id="{CE6987FD-5AF5-4CBA-AF66-91F9EE9395C2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33" name="Рисунок 2">
          <a:extLst>
            <a:ext uri="{FF2B5EF4-FFF2-40B4-BE49-F238E27FC236}">
              <a16:creationId xmlns:a16="http://schemas.microsoft.com/office/drawing/2014/main" xmlns="" id="{6E9801B1-F7EF-4B1B-8E30-B544568739A5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34" name="Рисунок 2">
          <a:extLst>
            <a:ext uri="{FF2B5EF4-FFF2-40B4-BE49-F238E27FC236}">
              <a16:creationId xmlns:a16="http://schemas.microsoft.com/office/drawing/2014/main" xmlns="" id="{ADE9EA65-1095-4B2D-974D-2E6ADBB02FCF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35" name="Рисунок 2">
          <a:extLst>
            <a:ext uri="{FF2B5EF4-FFF2-40B4-BE49-F238E27FC236}">
              <a16:creationId xmlns:a16="http://schemas.microsoft.com/office/drawing/2014/main" xmlns="" id="{59BA02E0-6DCC-4C63-956D-4850312DDDF8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36" name="Рисунок 2">
          <a:extLst>
            <a:ext uri="{FF2B5EF4-FFF2-40B4-BE49-F238E27FC236}">
              <a16:creationId xmlns:a16="http://schemas.microsoft.com/office/drawing/2014/main" xmlns="" id="{D9282DB5-06AC-47CA-8901-8C1F27D1F768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37" name="Рисунок 2">
          <a:extLst>
            <a:ext uri="{FF2B5EF4-FFF2-40B4-BE49-F238E27FC236}">
              <a16:creationId xmlns:a16="http://schemas.microsoft.com/office/drawing/2014/main" xmlns="" id="{E7DFDC3E-B261-46B8-AA51-D946A82203BD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38" name="Рисунок 2">
          <a:extLst>
            <a:ext uri="{FF2B5EF4-FFF2-40B4-BE49-F238E27FC236}">
              <a16:creationId xmlns:a16="http://schemas.microsoft.com/office/drawing/2014/main" xmlns="" id="{6D96D059-C612-4A27-B728-70B93FBCF964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39" name="Рисунок 2">
          <a:extLst>
            <a:ext uri="{FF2B5EF4-FFF2-40B4-BE49-F238E27FC236}">
              <a16:creationId xmlns:a16="http://schemas.microsoft.com/office/drawing/2014/main" xmlns="" id="{9BA2F474-5907-46AF-87A4-54E6A9EB73F1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40" name="Рисунок 2">
          <a:extLst>
            <a:ext uri="{FF2B5EF4-FFF2-40B4-BE49-F238E27FC236}">
              <a16:creationId xmlns:a16="http://schemas.microsoft.com/office/drawing/2014/main" xmlns="" id="{1DB58033-B4D4-4992-BF15-8EB8889C7361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41" name="Рисунок 2">
          <a:extLst>
            <a:ext uri="{FF2B5EF4-FFF2-40B4-BE49-F238E27FC236}">
              <a16:creationId xmlns:a16="http://schemas.microsoft.com/office/drawing/2014/main" xmlns="" id="{EB2DC87C-5C9D-4D36-9083-1AB5255BC839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42" name="Рисунок 2">
          <a:extLst>
            <a:ext uri="{FF2B5EF4-FFF2-40B4-BE49-F238E27FC236}">
              <a16:creationId xmlns:a16="http://schemas.microsoft.com/office/drawing/2014/main" xmlns="" id="{33D25682-F67B-4A3B-BBEF-AC877EC3DB16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43" name="Рисунок 2">
          <a:extLst>
            <a:ext uri="{FF2B5EF4-FFF2-40B4-BE49-F238E27FC236}">
              <a16:creationId xmlns:a16="http://schemas.microsoft.com/office/drawing/2014/main" xmlns="" id="{C24D4822-802F-457C-A555-ED2A1B8E3FBA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44" name="Рисунок 2">
          <a:extLst>
            <a:ext uri="{FF2B5EF4-FFF2-40B4-BE49-F238E27FC236}">
              <a16:creationId xmlns:a16="http://schemas.microsoft.com/office/drawing/2014/main" xmlns="" id="{9C142B79-FAC4-4D3C-ABAF-425E5F3B3FCF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45" name="Рисунок 2">
          <a:extLst>
            <a:ext uri="{FF2B5EF4-FFF2-40B4-BE49-F238E27FC236}">
              <a16:creationId xmlns:a16="http://schemas.microsoft.com/office/drawing/2014/main" xmlns="" id="{FEF1A641-44D9-45C2-A511-BCD8B3EC3DBD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46" name="Рисунок 2">
          <a:extLst>
            <a:ext uri="{FF2B5EF4-FFF2-40B4-BE49-F238E27FC236}">
              <a16:creationId xmlns:a16="http://schemas.microsoft.com/office/drawing/2014/main" xmlns="" id="{0F90ECC6-9BCC-4DF9-B6B1-BE407131DD13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47" name="Рисунок 2">
          <a:extLst>
            <a:ext uri="{FF2B5EF4-FFF2-40B4-BE49-F238E27FC236}">
              <a16:creationId xmlns:a16="http://schemas.microsoft.com/office/drawing/2014/main" xmlns="" id="{6A3F5A2E-9B87-4061-A014-98F7E5A7168E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48" name="Рисунок 2">
          <a:extLst>
            <a:ext uri="{FF2B5EF4-FFF2-40B4-BE49-F238E27FC236}">
              <a16:creationId xmlns:a16="http://schemas.microsoft.com/office/drawing/2014/main" xmlns="" id="{D0418369-E327-447A-BFB3-652D3D54872E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49" name="Рисунок 2">
          <a:extLst>
            <a:ext uri="{FF2B5EF4-FFF2-40B4-BE49-F238E27FC236}">
              <a16:creationId xmlns:a16="http://schemas.microsoft.com/office/drawing/2014/main" xmlns="" id="{06984E65-E426-44F7-AD45-4E497BAA1A04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50" name="Рисунок 2">
          <a:extLst>
            <a:ext uri="{FF2B5EF4-FFF2-40B4-BE49-F238E27FC236}">
              <a16:creationId xmlns:a16="http://schemas.microsoft.com/office/drawing/2014/main" xmlns="" id="{9A0AD5A3-50A6-4916-BD4C-0CE0E6B48008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51" name="Рисунок 2">
          <a:extLst>
            <a:ext uri="{FF2B5EF4-FFF2-40B4-BE49-F238E27FC236}">
              <a16:creationId xmlns:a16="http://schemas.microsoft.com/office/drawing/2014/main" xmlns="" id="{FC4AEA10-D43A-4EE0-85A5-6DA1490E1869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52" name="Рисунок 2">
          <a:extLst>
            <a:ext uri="{FF2B5EF4-FFF2-40B4-BE49-F238E27FC236}">
              <a16:creationId xmlns:a16="http://schemas.microsoft.com/office/drawing/2014/main" xmlns="" id="{949049EE-003B-4450-8B0B-6B9CAF4A3A74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53" name="Рисунок 2">
          <a:extLst>
            <a:ext uri="{FF2B5EF4-FFF2-40B4-BE49-F238E27FC236}">
              <a16:creationId xmlns:a16="http://schemas.microsoft.com/office/drawing/2014/main" xmlns="" id="{D3158427-F48F-4141-8888-65FBDB6F9CEC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54" name="Рисунок 2">
          <a:extLst>
            <a:ext uri="{FF2B5EF4-FFF2-40B4-BE49-F238E27FC236}">
              <a16:creationId xmlns:a16="http://schemas.microsoft.com/office/drawing/2014/main" xmlns="" id="{8F637096-C6B3-4215-8C02-E71544F6F5F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55" name="Рисунок 2">
          <a:extLst>
            <a:ext uri="{FF2B5EF4-FFF2-40B4-BE49-F238E27FC236}">
              <a16:creationId xmlns:a16="http://schemas.microsoft.com/office/drawing/2014/main" xmlns="" id="{3E42807F-F3A0-4EC0-8192-3B2172BC8CF9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56" name="Рисунок 2">
          <a:extLst>
            <a:ext uri="{FF2B5EF4-FFF2-40B4-BE49-F238E27FC236}">
              <a16:creationId xmlns:a16="http://schemas.microsoft.com/office/drawing/2014/main" xmlns="" id="{56553CD0-8675-4703-9172-202A2E25430D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57" name="Рисунок 2">
          <a:extLst>
            <a:ext uri="{FF2B5EF4-FFF2-40B4-BE49-F238E27FC236}">
              <a16:creationId xmlns:a16="http://schemas.microsoft.com/office/drawing/2014/main" xmlns="" id="{E2D14B4F-2289-4AC7-B04A-CAA7CB3F2C11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58" name="Рисунок 2">
          <a:extLst>
            <a:ext uri="{FF2B5EF4-FFF2-40B4-BE49-F238E27FC236}">
              <a16:creationId xmlns:a16="http://schemas.microsoft.com/office/drawing/2014/main" xmlns="" id="{87CBEB8E-DF3C-4156-8C89-DFFE497D6AE9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59" name="Рисунок 2">
          <a:extLst>
            <a:ext uri="{FF2B5EF4-FFF2-40B4-BE49-F238E27FC236}">
              <a16:creationId xmlns:a16="http://schemas.microsoft.com/office/drawing/2014/main" xmlns="" id="{6C41DBFE-BBF9-4224-AAAB-A0F920D022E3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60" name="Рисунок 2">
          <a:extLst>
            <a:ext uri="{FF2B5EF4-FFF2-40B4-BE49-F238E27FC236}">
              <a16:creationId xmlns:a16="http://schemas.microsoft.com/office/drawing/2014/main" xmlns="" id="{3D162CFB-C2AC-4DE7-8312-5329892A1E9A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61" name="Рисунок 2">
          <a:extLst>
            <a:ext uri="{FF2B5EF4-FFF2-40B4-BE49-F238E27FC236}">
              <a16:creationId xmlns:a16="http://schemas.microsoft.com/office/drawing/2014/main" xmlns="" id="{5C0BB27E-1853-402B-A7FA-7333E356A53A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62" name="Рисунок 2">
          <a:extLst>
            <a:ext uri="{FF2B5EF4-FFF2-40B4-BE49-F238E27FC236}">
              <a16:creationId xmlns:a16="http://schemas.microsoft.com/office/drawing/2014/main" xmlns="" id="{6F9FF671-762B-42F7-BC2A-FAA159B5164B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63" name="Рисунок 2">
          <a:extLst>
            <a:ext uri="{FF2B5EF4-FFF2-40B4-BE49-F238E27FC236}">
              <a16:creationId xmlns:a16="http://schemas.microsoft.com/office/drawing/2014/main" xmlns="" id="{A9979AAF-BD36-46E5-B6EB-53C7C8E0B24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64" name="Рисунок 2">
          <a:extLst>
            <a:ext uri="{FF2B5EF4-FFF2-40B4-BE49-F238E27FC236}">
              <a16:creationId xmlns:a16="http://schemas.microsoft.com/office/drawing/2014/main" xmlns="" id="{8B91993C-13FB-4C3D-A5C6-89E6035AA9C7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65" name="Рисунок 2">
          <a:extLst>
            <a:ext uri="{FF2B5EF4-FFF2-40B4-BE49-F238E27FC236}">
              <a16:creationId xmlns:a16="http://schemas.microsoft.com/office/drawing/2014/main" xmlns="" id="{74D3815E-AF2F-4476-9771-58265BA05DFE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66" name="Рисунок 2">
          <a:extLst>
            <a:ext uri="{FF2B5EF4-FFF2-40B4-BE49-F238E27FC236}">
              <a16:creationId xmlns:a16="http://schemas.microsoft.com/office/drawing/2014/main" xmlns="" id="{5E7CBA09-36ED-42D9-823E-5140D815EA09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67" name="Рисунок 2">
          <a:extLst>
            <a:ext uri="{FF2B5EF4-FFF2-40B4-BE49-F238E27FC236}">
              <a16:creationId xmlns:a16="http://schemas.microsoft.com/office/drawing/2014/main" xmlns="" id="{9262133A-7783-4133-8AD5-B14656F741C8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68" name="Рисунок 2">
          <a:extLst>
            <a:ext uri="{FF2B5EF4-FFF2-40B4-BE49-F238E27FC236}">
              <a16:creationId xmlns:a16="http://schemas.microsoft.com/office/drawing/2014/main" xmlns="" id="{6A737EA4-A3CF-4026-BB74-2B11206CC831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69" name="Рисунок 2">
          <a:extLst>
            <a:ext uri="{FF2B5EF4-FFF2-40B4-BE49-F238E27FC236}">
              <a16:creationId xmlns:a16="http://schemas.microsoft.com/office/drawing/2014/main" xmlns="" id="{E9C491B6-5CE9-4B76-9639-44F57E7F1578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70" name="Рисунок 2">
          <a:extLst>
            <a:ext uri="{FF2B5EF4-FFF2-40B4-BE49-F238E27FC236}">
              <a16:creationId xmlns:a16="http://schemas.microsoft.com/office/drawing/2014/main" xmlns="" id="{1D4B8B6F-1DDF-44BF-A5D6-909D1C952F87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71" name="Рисунок 2">
          <a:extLst>
            <a:ext uri="{FF2B5EF4-FFF2-40B4-BE49-F238E27FC236}">
              <a16:creationId xmlns:a16="http://schemas.microsoft.com/office/drawing/2014/main" xmlns="" id="{39294EA0-95F7-4026-81C5-8EBB9467A9C6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72" name="Рисунок 2">
          <a:extLst>
            <a:ext uri="{FF2B5EF4-FFF2-40B4-BE49-F238E27FC236}">
              <a16:creationId xmlns:a16="http://schemas.microsoft.com/office/drawing/2014/main" xmlns="" id="{547E9E0E-7FE8-418E-8717-6D5DDA06A7EF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373" name="Рисунок 2">
          <a:extLst>
            <a:ext uri="{FF2B5EF4-FFF2-40B4-BE49-F238E27FC236}">
              <a16:creationId xmlns:a16="http://schemas.microsoft.com/office/drawing/2014/main" xmlns="" id="{91582A0C-544E-46A4-B737-03B1FE179B99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374" name="Рисунок 2">
          <a:extLst>
            <a:ext uri="{FF2B5EF4-FFF2-40B4-BE49-F238E27FC236}">
              <a16:creationId xmlns:a16="http://schemas.microsoft.com/office/drawing/2014/main" xmlns="" id="{CF6D2864-D8FE-4F0B-9E72-E28A949BF846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375" name="Рисунок 2">
          <a:extLst>
            <a:ext uri="{FF2B5EF4-FFF2-40B4-BE49-F238E27FC236}">
              <a16:creationId xmlns:a16="http://schemas.microsoft.com/office/drawing/2014/main" xmlns="" id="{BA09F87C-857A-4E8E-8C13-E6E7C5B5702B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376" name="Рисунок 2">
          <a:extLst>
            <a:ext uri="{FF2B5EF4-FFF2-40B4-BE49-F238E27FC236}">
              <a16:creationId xmlns:a16="http://schemas.microsoft.com/office/drawing/2014/main" xmlns="" id="{FC18EA7B-3CE8-4868-8B96-66D01E8C531A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377" name="Рисунок 2">
          <a:extLst>
            <a:ext uri="{FF2B5EF4-FFF2-40B4-BE49-F238E27FC236}">
              <a16:creationId xmlns:a16="http://schemas.microsoft.com/office/drawing/2014/main" xmlns="" id="{287355D9-BE38-4C32-A29F-DF30189DEF89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378" name="Рисунок 2">
          <a:extLst>
            <a:ext uri="{FF2B5EF4-FFF2-40B4-BE49-F238E27FC236}">
              <a16:creationId xmlns:a16="http://schemas.microsoft.com/office/drawing/2014/main" xmlns="" id="{500B5A46-A8DE-4E78-96A9-55B973C7B4E4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379" name="Рисунок 2">
          <a:extLst>
            <a:ext uri="{FF2B5EF4-FFF2-40B4-BE49-F238E27FC236}">
              <a16:creationId xmlns:a16="http://schemas.microsoft.com/office/drawing/2014/main" xmlns="" id="{0699BF7C-C553-4B1E-82AF-CF0BAF413F90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380" name="Рисунок 2">
          <a:extLst>
            <a:ext uri="{FF2B5EF4-FFF2-40B4-BE49-F238E27FC236}">
              <a16:creationId xmlns:a16="http://schemas.microsoft.com/office/drawing/2014/main" xmlns="" id="{98D21609-2475-4F4B-9CCF-7029B2F58B20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381" name="Рисунок 2">
          <a:extLst>
            <a:ext uri="{FF2B5EF4-FFF2-40B4-BE49-F238E27FC236}">
              <a16:creationId xmlns:a16="http://schemas.microsoft.com/office/drawing/2014/main" xmlns="" id="{67CA102F-7341-4156-A552-B8B46F8D9349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382" name="Рисунок 2">
          <a:extLst>
            <a:ext uri="{FF2B5EF4-FFF2-40B4-BE49-F238E27FC236}">
              <a16:creationId xmlns:a16="http://schemas.microsoft.com/office/drawing/2014/main" xmlns="" id="{3E80FCA7-C35D-4997-B6E1-78BAD07D8F21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383" name="Рисунок 2">
          <a:extLst>
            <a:ext uri="{FF2B5EF4-FFF2-40B4-BE49-F238E27FC236}">
              <a16:creationId xmlns:a16="http://schemas.microsoft.com/office/drawing/2014/main" xmlns="" id="{66A9F2AC-98F4-4A7B-9AAB-4C1C77B673CE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384" name="Рисунок 2">
          <a:extLst>
            <a:ext uri="{FF2B5EF4-FFF2-40B4-BE49-F238E27FC236}">
              <a16:creationId xmlns:a16="http://schemas.microsoft.com/office/drawing/2014/main" xmlns="" id="{1AAB45F6-4C09-473D-84F0-1688B019D31C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385" name="Рисунок 2">
          <a:extLst>
            <a:ext uri="{FF2B5EF4-FFF2-40B4-BE49-F238E27FC236}">
              <a16:creationId xmlns:a16="http://schemas.microsoft.com/office/drawing/2014/main" xmlns="" id="{F1737369-D0AF-4AE7-83FD-F01361798C20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386" name="Рисунок 2">
          <a:extLst>
            <a:ext uri="{FF2B5EF4-FFF2-40B4-BE49-F238E27FC236}">
              <a16:creationId xmlns:a16="http://schemas.microsoft.com/office/drawing/2014/main" xmlns="" id="{61F650C1-E68D-433A-91CC-2C93B8276B36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387" name="Рисунок 2">
          <a:extLst>
            <a:ext uri="{FF2B5EF4-FFF2-40B4-BE49-F238E27FC236}">
              <a16:creationId xmlns:a16="http://schemas.microsoft.com/office/drawing/2014/main" xmlns="" id="{7B238C57-4E98-44D6-AABF-8F34117A09FE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388" name="Рисунок 2">
          <a:extLst>
            <a:ext uri="{FF2B5EF4-FFF2-40B4-BE49-F238E27FC236}">
              <a16:creationId xmlns:a16="http://schemas.microsoft.com/office/drawing/2014/main" xmlns="" id="{D6F6AED3-3C20-4A45-9099-70CF8641285B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389" name="Рисунок 2">
          <a:extLst>
            <a:ext uri="{FF2B5EF4-FFF2-40B4-BE49-F238E27FC236}">
              <a16:creationId xmlns:a16="http://schemas.microsoft.com/office/drawing/2014/main" xmlns="" id="{D915FEC0-C38D-4BDC-AE12-6A1312828B54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390" name="Рисунок 2">
          <a:extLst>
            <a:ext uri="{FF2B5EF4-FFF2-40B4-BE49-F238E27FC236}">
              <a16:creationId xmlns:a16="http://schemas.microsoft.com/office/drawing/2014/main" xmlns="" id="{23E54665-39F7-4258-A540-4ED2BA8F7FAA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391" name="Рисунок 2">
          <a:extLst>
            <a:ext uri="{FF2B5EF4-FFF2-40B4-BE49-F238E27FC236}">
              <a16:creationId xmlns:a16="http://schemas.microsoft.com/office/drawing/2014/main" xmlns="" id="{24238031-D662-4360-A9B0-711AD6E179FF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392" name="Рисунок 2">
          <a:extLst>
            <a:ext uri="{FF2B5EF4-FFF2-40B4-BE49-F238E27FC236}">
              <a16:creationId xmlns:a16="http://schemas.microsoft.com/office/drawing/2014/main" xmlns="" id="{59FF3463-AC44-4EE2-B7C0-6772D1F599FF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393" name="Рисунок 2">
          <a:extLst>
            <a:ext uri="{FF2B5EF4-FFF2-40B4-BE49-F238E27FC236}">
              <a16:creationId xmlns:a16="http://schemas.microsoft.com/office/drawing/2014/main" xmlns="" id="{AF232265-EA79-4D84-BCB7-B024E795DB89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394" name="Рисунок 2">
          <a:extLst>
            <a:ext uri="{FF2B5EF4-FFF2-40B4-BE49-F238E27FC236}">
              <a16:creationId xmlns:a16="http://schemas.microsoft.com/office/drawing/2014/main" xmlns="" id="{A78CF306-881E-4C2A-873A-A84355E45C36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395" name="Рисунок 2">
          <a:extLst>
            <a:ext uri="{FF2B5EF4-FFF2-40B4-BE49-F238E27FC236}">
              <a16:creationId xmlns:a16="http://schemas.microsoft.com/office/drawing/2014/main" xmlns="" id="{EA6EECC9-FB62-4A81-AF2D-2E01043D75B3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396" name="Рисунок 2">
          <a:extLst>
            <a:ext uri="{FF2B5EF4-FFF2-40B4-BE49-F238E27FC236}">
              <a16:creationId xmlns:a16="http://schemas.microsoft.com/office/drawing/2014/main" xmlns="" id="{33F08B92-13D5-49BE-8F40-9EBA86BE4EA6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397" name="Рисунок 2">
          <a:extLst>
            <a:ext uri="{FF2B5EF4-FFF2-40B4-BE49-F238E27FC236}">
              <a16:creationId xmlns:a16="http://schemas.microsoft.com/office/drawing/2014/main" xmlns="" id="{BCB6C1BF-30EB-41F3-8A47-BEAB9BA0BD88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398" name="Рисунок 2">
          <a:extLst>
            <a:ext uri="{FF2B5EF4-FFF2-40B4-BE49-F238E27FC236}">
              <a16:creationId xmlns:a16="http://schemas.microsoft.com/office/drawing/2014/main" xmlns="" id="{6E74F83E-1BEA-45C5-B9C1-05B1384FA4CB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0</xdr:row>
      <xdr:rowOff>180975</xdr:rowOff>
    </xdr:from>
    <xdr:to>
      <xdr:col>1</xdr:col>
      <xdr:colOff>238125</xdr:colOff>
      <xdr:row>1</xdr:row>
      <xdr:rowOff>66675</xdr:rowOff>
    </xdr:to>
    <xdr:sp macro="" textlink="">
      <xdr:nvSpPr>
        <xdr:cNvPr id="399" name="Рисунок 2">
          <a:extLst>
            <a:ext uri="{FF2B5EF4-FFF2-40B4-BE49-F238E27FC236}">
              <a16:creationId xmlns:a16="http://schemas.microsoft.com/office/drawing/2014/main" xmlns="" id="{C81726BC-1175-4B0A-A4B3-F1D5CF95BF71}"/>
            </a:ext>
          </a:extLst>
        </xdr:cNvPr>
        <xdr:cNvSpPr>
          <a:spLocks noChangeArrowheads="1"/>
        </xdr:cNvSpPr>
      </xdr:nvSpPr>
      <xdr:spPr bwMode="auto">
        <a:xfrm>
          <a:off x="752475" y="18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466725</xdr:colOff>
      <xdr:row>20</xdr:row>
      <xdr:rowOff>47625</xdr:rowOff>
    </xdr:from>
    <xdr:to>
      <xdr:col>1</xdr:col>
      <xdr:colOff>533400</xdr:colOff>
      <xdr:row>20</xdr:row>
      <xdr:rowOff>123825</xdr:rowOff>
    </xdr:to>
    <xdr:sp macro="" textlink="">
      <xdr:nvSpPr>
        <xdr:cNvPr id="400" name="Rectangle 9">
          <a:extLst>
            <a:ext uri="{FF2B5EF4-FFF2-40B4-BE49-F238E27FC236}">
              <a16:creationId xmlns:a16="http://schemas.microsoft.com/office/drawing/2014/main" xmlns="" id="{9CF0182D-3699-452E-A526-A5733C57CD3C}"/>
            </a:ext>
          </a:extLst>
        </xdr:cNvPr>
        <xdr:cNvSpPr>
          <a:spLocks noChangeArrowheads="1"/>
        </xdr:cNvSpPr>
      </xdr:nvSpPr>
      <xdr:spPr bwMode="auto">
        <a:xfrm>
          <a:off x="1076325" y="3857625"/>
          <a:ext cx="66675" cy="76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24765" cap="flat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prstDash val="solid"/>
          <a:miter lim="800000"/>
          <a:headEnd/>
          <a:tailEnd/>
        </a:ln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01" name="Рисунок 2">
          <a:extLst>
            <a:ext uri="{FF2B5EF4-FFF2-40B4-BE49-F238E27FC236}">
              <a16:creationId xmlns:a16="http://schemas.microsoft.com/office/drawing/2014/main" xmlns="" id="{03BAFED5-87D7-418D-9283-5028A27D9B9B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02" name="Рисунок 2">
          <a:extLst>
            <a:ext uri="{FF2B5EF4-FFF2-40B4-BE49-F238E27FC236}">
              <a16:creationId xmlns:a16="http://schemas.microsoft.com/office/drawing/2014/main" xmlns="" id="{C499F1BA-06E7-4CAE-8DA5-8716FFD7C624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03" name="Рисунок 2">
          <a:extLst>
            <a:ext uri="{FF2B5EF4-FFF2-40B4-BE49-F238E27FC236}">
              <a16:creationId xmlns:a16="http://schemas.microsoft.com/office/drawing/2014/main" xmlns="" id="{7C0DB956-0C07-4EF7-8BE1-B46994063347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04" name="Рисунок 2">
          <a:extLst>
            <a:ext uri="{FF2B5EF4-FFF2-40B4-BE49-F238E27FC236}">
              <a16:creationId xmlns:a16="http://schemas.microsoft.com/office/drawing/2014/main" xmlns="" id="{813D0E6E-5CF0-417C-B314-B78AD9563BA1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05" name="Рисунок 2">
          <a:extLst>
            <a:ext uri="{FF2B5EF4-FFF2-40B4-BE49-F238E27FC236}">
              <a16:creationId xmlns:a16="http://schemas.microsoft.com/office/drawing/2014/main" xmlns="" id="{6181E216-7019-4856-A408-5D3F480A21A3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06" name="Рисунок 2">
          <a:extLst>
            <a:ext uri="{FF2B5EF4-FFF2-40B4-BE49-F238E27FC236}">
              <a16:creationId xmlns:a16="http://schemas.microsoft.com/office/drawing/2014/main" xmlns="" id="{D7C0626E-A94C-4EAC-821C-3D28D2BFCB6E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07" name="Рисунок 2">
          <a:extLst>
            <a:ext uri="{FF2B5EF4-FFF2-40B4-BE49-F238E27FC236}">
              <a16:creationId xmlns:a16="http://schemas.microsoft.com/office/drawing/2014/main" xmlns="" id="{82666B60-A7E8-454A-854B-47639D5A0EA2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08" name="Рисунок 2">
          <a:extLst>
            <a:ext uri="{FF2B5EF4-FFF2-40B4-BE49-F238E27FC236}">
              <a16:creationId xmlns:a16="http://schemas.microsoft.com/office/drawing/2014/main" xmlns="" id="{AB5759C9-2178-4C54-8227-1E60A03AF838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09" name="Рисунок 2">
          <a:extLst>
            <a:ext uri="{FF2B5EF4-FFF2-40B4-BE49-F238E27FC236}">
              <a16:creationId xmlns:a16="http://schemas.microsoft.com/office/drawing/2014/main" xmlns="" id="{D5958D00-FA53-4B5D-8356-5CFA99F689A7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10" name="Рисунок 2">
          <a:extLst>
            <a:ext uri="{FF2B5EF4-FFF2-40B4-BE49-F238E27FC236}">
              <a16:creationId xmlns:a16="http://schemas.microsoft.com/office/drawing/2014/main" xmlns="" id="{B5FA286D-98BA-451A-9D4F-A8449817ED79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11" name="Рисунок 2">
          <a:extLst>
            <a:ext uri="{FF2B5EF4-FFF2-40B4-BE49-F238E27FC236}">
              <a16:creationId xmlns:a16="http://schemas.microsoft.com/office/drawing/2014/main" xmlns="" id="{D5EDD486-C742-4519-8184-A163ED5FD10D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12" name="Рисунок 2">
          <a:extLst>
            <a:ext uri="{FF2B5EF4-FFF2-40B4-BE49-F238E27FC236}">
              <a16:creationId xmlns:a16="http://schemas.microsoft.com/office/drawing/2014/main" xmlns="" id="{0BAF4819-CF1B-4514-9AFC-214772924458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13" name="Рисунок 2">
          <a:extLst>
            <a:ext uri="{FF2B5EF4-FFF2-40B4-BE49-F238E27FC236}">
              <a16:creationId xmlns:a16="http://schemas.microsoft.com/office/drawing/2014/main" xmlns="" id="{71D43FEF-E56A-4EDF-8939-876CE37381F7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14" name="Рисунок 2">
          <a:extLst>
            <a:ext uri="{FF2B5EF4-FFF2-40B4-BE49-F238E27FC236}">
              <a16:creationId xmlns:a16="http://schemas.microsoft.com/office/drawing/2014/main" xmlns="" id="{23A6BF37-1625-4E8D-8D0F-547DE7E062B8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15" name="Рисунок 2">
          <a:extLst>
            <a:ext uri="{FF2B5EF4-FFF2-40B4-BE49-F238E27FC236}">
              <a16:creationId xmlns:a16="http://schemas.microsoft.com/office/drawing/2014/main" xmlns="" id="{33FD1357-82C2-4769-A7BA-3741CF626FAC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16" name="Рисунок 2">
          <a:extLst>
            <a:ext uri="{FF2B5EF4-FFF2-40B4-BE49-F238E27FC236}">
              <a16:creationId xmlns:a16="http://schemas.microsoft.com/office/drawing/2014/main" xmlns="" id="{EE2B46BC-0D73-4B60-BBAB-F415AD9C982F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17" name="Рисунок 2">
          <a:extLst>
            <a:ext uri="{FF2B5EF4-FFF2-40B4-BE49-F238E27FC236}">
              <a16:creationId xmlns:a16="http://schemas.microsoft.com/office/drawing/2014/main" xmlns="" id="{BF18FAB3-B51A-4C32-B175-2F5F184CD3B1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18" name="Рисунок 2">
          <a:extLst>
            <a:ext uri="{FF2B5EF4-FFF2-40B4-BE49-F238E27FC236}">
              <a16:creationId xmlns:a16="http://schemas.microsoft.com/office/drawing/2014/main" xmlns="" id="{7157801D-B2CB-45BE-A3E7-0924C47681A0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19" name="Рисунок 2">
          <a:extLst>
            <a:ext uri="{FF2B5EF4-FFF2-40B4-BE49-F238E27FC236}">
              <a16:creationId xmlns:a16="http://schemas.microsoft.com/office/drawing/2014/main" xmlns="" id="{62316D65-FB10-4894-9990-C4A7427B179D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20" name="Рисунок 2">
          <a:extLst>
            <a:ext uri="{FF2B5EF4-FFF2-40B4-BE49-F238E27FC236}">
              <a16:creationId xmlns:a16="http://schemas.microsoft.com/office/drawing/2014/main" xmlns="" id="{6A42A562-7571-42FE-821D-03ABAAEF60D6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21" name="Рисунок 2">
          <a:extLst>
            <a:ext uri="{FF2B5EF4-FFF2-40B4-BE49-F238E27FC236}">
              <a16:creationId xmlns:a16="http://schemas.microsoft.com/office/drawing/2014/main" xmlns="" id="{2357C413-5886-48DD-88F0-1044B39E316D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22" name="Рисунок 2">
          <a:extLst>
            <a:ext uri="{FF2B5EF4-FFF2-40B4-BE49-F238E27FC236}">
              <a16:creationId xmlns:a16="http://schemas.microsoft.com/office/drawing/2014/main" xmlns="" id="{0867B227-D04C-4626-BFD0-A140AAB0287E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23" name="Рисунок 2">
          <a:extLst>
            <a:ext uri="{FF2B5EF4-FFF2-40B4-BE49-F238E27FC236}">
              <a16:creationId xmlns:a16="http://schemas.microsoft.com/office/drawing/2014/main" xmlns="" id="{D8C6BB5A-AC62-4656-B7F6-ED5832C0636F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24" name="Рисунок 2">
          <a:extLst>
            <a:ext uri="{FF2B5EF4-FFF2-40B4-BE49-F238E27FC236}">
              <a16:creationId xmlns:a16="http://schemas.microsoft.com/office/drawing/2014/main" xmlns="" id="{3C882A97-E25E-44DB-A1DD-48E997C6F0E5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25" name="Рисунок 2">
          <a:extLst>
            <a:ext uri="{FF2B5EF4-FFF2-40B4-BE49-F238E27FC236}">
              <a16:creationId xmlns:a16="http://schemas.microsoft.com/office/drawing/2014/main" xmlns="" id="{2D6F800B-B0F4-4C70-BFB7-1E1C399B5F4B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26" name="Рисунок 2">
          <a:extLst>
            <a:ext uri="{FF2B5EF4-FFF2-40B4-BE49-F238E27FC236}">
              <a16:creationId xmlns:a16="http://schemas.microsoft.com/office/drawing/2014/main" xmlns="" id="{8371B9F1-D474-47B7-9FDA-D7CD2F497A82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27" name="Рисунок 2">
          <a:extLst>
            <a:ext uri="{FF2B5EF4-FFF2-40B4-BE49-F238E27FC236}">
              <a16:creationId xmlns:a16="http://schemas.microsoft.com/office/drawing/2014/main" xmlns="" id="{B08790D8-8E24-42F4-8D92-F974ABF2B11F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28" name="Рисунок 2">
          <a:extLst>
            <a:ext uri="{FF2B5EF4-FFF2-40B4-BE49-F238E27FC236}">
              <a16:creationId xmlns:a16="http://schemas.microsoft.com/office/drawing/2014/main" xmlns="" id="{A508093A-456F-45A0-B320-2B09A41F6892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29" name="Рисунок 2">
          <a:extLst>
            <a:ext uri="{FF2B5EF4-FFF2-40B4-BE49-F238E27FC236}">
              <a16:creationId xmlns:a16="http://schemas.microsoft.com/office/drawing/2014/main" xmlns="" id="{64AA1BE8-DEDF-46D0-ADDA-2AC17FCFD895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30" name="Рисунок 2">
          <a:extLst>
            <a:ext uri="{FF2B5EF4-FFF2-40B4-BE49-F238E27FC236}">
              <a16:creationId xmlns:a16="http://schemas.microsoft.com/office/drawing/2014/main" xmlns="" id="{5FC24AF4-AC44-4198-B1E2-D6A2A8F4806F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31" name="Рисунок 2">
          <a:extLst>
            <a:ext uri="{FF2B5EF4-FFF2-40B4-BE49-F238E27FC236}">
              <a16:creationId xmlns:a16="http://schemas.microsoft.com/office/drawing/2014/main" xmlns="" id="{AA5A14C8-9E05-4517-A81B-BD30AB171E93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32" name="Рисунок 2">
          <a:extLst>
            <a:ext uri="{FF2B5EF4-FFF2-40B4-BE49-F238E27FC236}">
              <a16:creationId xmlns:a16="http://schemas.microsoft.com/office/drawing/2014/main" xmlns="" id="{D3745C94-0665-4AC8-A9AD-19BFCC196333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33" name="Рисунок 2">
          <a:extLst>
            <a:ext uri="{FF2B5EF4-FFF2-40B4-BE49-F238E27FC236}">
              <a16:creationId xmlns:a16="http://schemas.microsoft.com/office/drawing/2014/main" xmlns="" id="{7A5CB0F4-7932-4873-A1D7-0AAE65A27D36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34" name="Рисунок 2">
          <a:extLst>
            <a:ext uri="{FF2B5EF4-FFF2-40B4-BE49-F238E27FC236}">
              <a16:creationId xmlns:a16="http://schemas.microsoft.com/office/drawing/2014/main" xmlns="" id="{CA647B3F-9822-4F21-8E12-8703456CD2FA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35" name="Рисунок 2">
          <a:extLst>
            <a:ext uri="{FF2B5EF4-FFF2-40B4-BE49-F238E27FC236}">
              <a16:creationId xmlns:a16="http://schemas.microsoft.com/office/drawing/2014/main" xmlns="" id="{EA9441BA-2DEE-4757-B1FA-D451ACC14AD9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36" name="Рисунок 2">
          <a:extLst>
            <a:ext uri="{FF2B5EF4-FFF2-40B4-BE49-F238E27FC236}">
              <a16:creationId xmlns:a16="http://schemas.microsoft.com/office/drawing/2014/main" xmlns="" id="{B923E2C6-0FE0-4960-A782-F1DC83BC0625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37" name="Рисунок 2">
          <a:extLst>
            <a:ext uri="{FF2B5EF4-FFF2-40B4-BE49-F238E27FC236}">
              <a16:creationId xmlns:a16="http://schemas.microsoft.com/office/drawing/2014/main" xmlns="" id="{6DD75891-5045-42FA-9837-3F9757624E74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38" name="Рисунок 2">
          <a:extLst>
            <a:ext uri="{FF2B5EF4-FFF2-40B4-BE49-F238E27FC236}">
              <a16:creationId xmlns:a16="http://schemas.microsoft.com/office/drawing/2014/main" xmlns="" id="{EAEE32C4-944B-4B02-B058-D8EC14C873A6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39" name="Рисунок 2">
          <a:extLst>
            <a:ext uri="{FF2B5EF4-FFF2-40B4-BE49-F238E27FC236}">
              <a16:creationId xmlns:a16="http://schemas.microsoft.com/office/drawing/2014/main" xmlns="" id="{C8EED7F2-7441-49FE-8CAE-6B2BDBC4E018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40" name="Рисунок 2">
          <a:extLst>
            <a:ext uri="{FF2B5EF4-FFF2-40B4-BE49-F238E27FC236}">
              <a16:creationId xmlns:a16="http://schemas.microsoft.com/office/drawing/2014/main" xmlns="" id="{0844038F-599F-4A46-B17E-E0126EDBE324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41" name="Рисунок 2">
          <a:extLst>
            <a:ext uri="{FF2B5EF4-FFF2-40B4-BE49-F238E27FC236}">
              <a16:creationId xmlns:a16="http://schemas.microsoft.com/office/drawing/2014/main" xmlns="" id="{DD4FBF2E-41AA-44D4-B0A8-81FD8C21B00B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42" name="Рисунок 2">
          <a:extLst>
            <a:ext uri="{FF2B5EF4-FFF2-40B4-BE49-F238E27FC236}">
              <a16:creationId xmlns:a16="http://schemas.microsoft.com/office/drawing/2014/main" xmlns="" id="{ED35A428-7C41-4E07-8FD3-5DB7482C33B0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43" name="Рисунок 2">
          <a:extLst>
            <a:ext uri="{FF2B5EF4-FFF2-40B4-BE49-F238E27FC236}">
              <a16:creationId xmlns:a16="http://schemas.microsoft.com/office/drawing/2014/main" xmlns="" id="{4B8F42B1-9B98-4FE5-9DD9-67A48246EEC0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44" name="Рисунок 2">
          <a:extLst>
            <a:ext uri="{FF2B5EF4-FFF2-40B4-BE49-F238E27FC236}">
              <a16:creationId xmlns:a16="http://schemas.microsoft.com/office/drawing/2014/main" xmlns="" id="{F1AD5F4A-B21F-4544-BC3C-2A7B64882E04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45" name="Рисунок 2">
          <a:extLst>
            <a:ext uri="{FF2B5EF4-FFF2-40B4-BE49-F238E27FC236}">
              <a16:creationId xmlns:a16="http://schemas.microsoft.com/office/drawing/2014/main" xmlns="" id="{67DCBCE8-92E7-4019-ACB9-F81F17AD3DD6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46" name="Рисунок 2">
          <a:extLst>
            <a:ext uri="{FF2B5EF4-FFF2-40B4-BE49-F238E27FC236}">
              <a16:creationId xmlns:a16="http://schemas.microsoft.com/office/drawing/2014/main" xmlns="" id="{EAEDDDC3-C3B5-4663-B52B-A17F25EDC4E4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47" name="Рисунок 2">
          <a:extLst>
            <a:ext uri="{FF2B5EF4-FFF2-40B4-BE49-F238E27FC236}">
              <a16:creationId xmlns:a16="http://schemas.microsoft.com/office/drawing/2014/main" xmlns="" id="{75AB52D2-E724-4A9B-992B-5061D774BF12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48" name="Рисунок 2">
          <a:extLst>
            <a:ext uri="{FF2B5EF4-FFF2-40B4-BE49-F238E27FC236}">
              <a16:creationId xmlns:a16="http://schemas.microsoft.com/office/drawing/2014/main" xmlns="" id="{4D0C160A-314C-4440-AF10-67AF4A4D2226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49" name="Рисунок 2">
          <a:extLst>
            <a:ext uri="{FF2B5EF4-FFF2-40B4-BE49-F238E27FC236}">
              <a16:creationId xmlns:a16="http://schemas.microsoft.com/office/drawing/2014/main" xmlns="" id="{36A7D325-1E5A-4E5E-924B-BF3340EF5EC1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50" name="Рисунок 2">
          <a:extLst>
            <a:ext uri="{FF2B5EF4-FFF2-40B4-BE49-F238E27FC236}">
              <a16:creationId xmlns:a16="http://schemas.microsoft.com/office/drawing/2014/main" xmlns="" id="{04ECB88B-0F34-43B6-847A-4522A66DF4E8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51" name="Рисунок 2">
          <a:extLst>
            <a:ext uri="{FF2B5EF4-FFF2-40B4-BE49-F238E27FC236}">
              <a16:creationId xmlns:a16="http://schemas.microsoft.com/office/drawing/2014/main" xmlns="" id="{7AD0F81C-4F82-4D0E-84EA-7830E19C8623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52" name="Рисунок 2">
          <a:extLst>
            <a:ext uri="{FF2B5EF4-FFF2-40B4-BE49-F238E27FC236}">
              <a16:creationId xmlns:a16="http://schemas.microsoft.com/office/drawing/2014/main" xmlns="" id="{D6C37CED-17AB-4B42-B000-8BE9446C00B7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</xdr:row>
      <xdr:rowOff>180975</xdr:rowOff>
    </xdr:from>
    <xdr:to>
      <xdr:col>1</xdr:col>
      <xdr:colOff>238125</xdr:colOff>
      <xdr:row>2</xdr:row>
      <xdr:rowOff>66675</xdr:rowOff>
    </xdr:to>
    <xdr:sp macro="" textlink="">
      <xdr:nvSpPr>
        <xdr:cNvPr id="453" name="Рисунок 2">
          <a:extLst>
            <a:ext uri="{FF2B5EF4-FFF2-40B4-BE49-F238E27FC236}">
              <a16:creationId xmlns:a16="http://schemas.microsoft.com/office/drawing/2014/main" xmlns="" id="{4524F324-D437-4028-94ED-4E4CD19B8A9B}"/>
            </a:ext>
          </a:extLst>
        </xdr:cNvPr>
        <xdr:cNvSpPr>
          <a:spLocks noChangeArrowheads="1"/>
        </xdr:cNvSpPr>
      </xdr:nvSpPr>
      <xdr:spPr bwMode="auto">
        <a:xfrm>
          <a:off x="752475" y="37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</xdr:row>
      <xdr:rowOff>180975</xdr:rowOff>
    </xdr:from>
    <xdr:to>
      <xdr:col>1</xdr:col>
      <xdr:colOff>238125</xdr:colOff>
      <xdr:row>3</xdr:row>
      <xdr:rowOff>66675</xdr:rowOff>
    </xdr:to>
    <xdr:sp macro="" textlink="">
      <xdr:nvSpPr>
        <xdr:cNvPr id="454" name="Рисунок 2">
          <a:extLst>
            <a:ext uri="{FF2B5EF4-FFF2-40B4-BE49-F238E27FC236}">
              <a16:creationId xmlns:a16="http://schemas.microsoft.com/office/drawing/2014/main" xmlns="" id="{5B770AB5-7535-4ABE-B008-060A3CB3CE3B}"/>
            </a:ext>
          </a:extLst>
        </xdr:cNvPr>
        <xdr:cNvSpPr>
          <a:spLocks noChangeArrowheads="1"/>
        </xdr:cNvSpPr>
      </xdr:nvSpPr>
      <xdr:spPr bwMode="auto">
        <a:xfrm>
          <a:off x="752475" y="56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3</xdr:row>
      <xdr:rowOff>180975</xdr:rowOff>
    </xdr:from>
    <xdr:to>
      <xdr:col>1</xdr:col>
      <xdr:colOff>238125</xdr:colOff>
      <xdr:row>4</xdr:row>
      <xdr:rowOff>66675</xdr:rowOff>
    </xdr:to>
    <xdr:sp macro="" textlink="">
      <xdr:nvSpPr>
        <xdr:cNvPr id="455" name="Рисунок 2">
          <a:extLst>
            <a:ext uri="{FF2B5EF4-FFF2-40B4-BE49-F238E27FC236}">
              <a16:creationId xmlns:a16="http://schemas.microsoft.com/office/drawing/2014/main" xmlns="" id="{BA4EA498-6A0E-4335-8189-F3329AAF37BC}"/>
            </a:ext>
          </a:extLst>
        </xdr:cNvPr>
        <xdr:cNvSpPr>
          <a:spLocks noChangeArrowheads="1"/>
        </xdr:cNvSpPr>
      </xdr:nvSpPr>
      <xdr:spPr bwMode="auto">
        <a:xfrm>
          <a:off x="752475" y="75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4</xdr:row>
      <xdr:rowOff>180975</xdr:rowOff>
    </xdr:from>
    <xdr:to>
      <xdr:col>1</xdr:col>
      <xdr:colOff>238125</xdr:colOff>
      <xdr:row>5</xdr:row>
      <xdr:rowOff>66675</xdr:rowOff>
    </xdr:to>
    <xdr:sp macro="" textlink="">
      <xdr:nvSpPr>
        <xdr:cNvPr id="456" name="Рисунок 2">
          <a:extLst>
            <a:ext uri="{FF2B5EF4-FFF2-40B4-BE49-F238E27FC236}">
              <a16:creationId xmlns:a16="http://schemas.microsoft.com/office/drawing/2014/main" xmlns="" id="{B9F6F2DA-5EC8-4B18-AC0B-BC8BB5D05567}"/>
            </a:ext>
          </a:extLst>
        </xdr:cNvPr>
        <xdr:cNvSpPr>
          <a:spLocks noChangeArrowheads="1"/>
        </xdr:cNvSpPr>
      </xdr:nvSpPr>
      <xdr:spPr bwMode="auto">
        <a:xfrm>
          <a:off x="752475" y="94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5</xdr:row>
      <xdr:rowOff>180975</xdr:rowOff>
    </xdr:from>
    <xdr:to>
      <xdr:col>1</xdr:col>
      <xdr:colOff>238125</xdr:colOff>
      <xdr:row>6</xdr:row>
      <xdr:rowOff>66675</xdr:rowOff>
    </xdr:to>
    <xdr:sp macro="" textlink="">
      <xdr:nvSpPr>
        <xdr:cNvPr id="457" name="Рисунок 2">
          <a:extLst>
            <a:ext uri="{FF2B5EF4-FFF2-40B4-BE49-F238E27FC236}">
              <a16:creationId xmlns:a16="http://schemas.microsoft.com/office/drawing/2014/main" xmlns="" id="{7F549176-75F8-452B-8000-ACE5DFF7F855}"/>
            </a:ext>
          </a:extLst>
        </xdr:cNvPr>
        <xdr:cNvSpPr>
          <a:spLocks noChangeArrowheads="1"/>
        </xdr:cNvSpPr>
      </xdr:nvSpPr>
      <xdr:spPr bwMode="auto">
        <a:xfrm>
          <a:off x="752475" y="113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6</xdr:row>
      <xdr:rowOff>180975</xdr:rowOff>
    </xdr:from>
    <xdr:to>
      <xdr:col>1</xdr:col>
      <xdr:colOff>238125</xdr:colOff>
      <xdr:row>7</xdr:row>
      <xdr:rowOff>66675</xdr:rowOff>
    </xdr:to>
    <xdr:sp macro="" textlink="">
      <xdr:nvSpPr>
        <xdr:cNvPr id="458" name="Рисунок 2">
          <a:extLst>
            <a:ext uri="{FF2B5EF4-FFF2-40B4-BE49-F238E27FC236}">
              <a16:creationId xmlns:a16="http://schemas.microsoft.com/office/drawing/2014/main" xmlns="" id="{D4F61822-3046-4AAA-9867-38598757E199}"/>
            </a:ext>
          </a:extLst>
        </xdr:cNvPr>
        <xdr:cNvSpPr>
          <a:spLocks noChangeArrowheads="1"/>
        </xdr:cNvSpPr>
      </xdr:nvSpPr>
      <xdr:spPr bwMode="auto">
        <a:xfrm>
          <a:off x="752475" y="132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7</xdr:row>
      <xdr:rowOff>180975</xdr:rowOff>
    </xdr:from>
    <xdr:to>
      <xdr:col>1</xdr:col>
      <xdr:colOff>238125</xdr:colOff>
      <xdr:row>8</xdr:row>
      <xdr:rowOff>66675</xdr:rowOff>
    </xdr:to>
    <xdr:sp macro="" textlink="">
      <xdr:nvSpPr>
        <xdr:cNvPr id="459" name="Рисунок 2">
          <a:extLst>
            <a:ext uri="{FF2B5EF4-FFF2-40B4-BE49-F238E27FC236}">
              <a16:creationId xmlns:a16="http://schemas.microsoft.com/office/drawing/2014/main" xmlns="" id="{6BEC524C-02FF-48A9-A2F7-B91F1EB59ADF}"/>
            </a:ext>
          </a:extLst>
        </xdr:cNvPr>
        <xdr:cNvSpPr>
          <a:spLocks noChangeArrowheads="1"/>
        </xdr:cNvSpPr>
      </xdr:nvSpPr>
      <xdr:spPr bwMode="auto">
        <a:xfrm>
          <a:off x="752475" y="1514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8</xdr:row>
      <xdr:rowOff>180975</xdr:rowOff>
    </xdr:from>
    <xdr:to>
      <xdr:col>1</xdr:col>
      <xdr:colOff>238125</xdr:colOff>
      <xdr:row>9</xdr:row>
      <xdr:rowOff>66675</xdr:rowOff>
    </xdr:to>
    <xdr:sp macro="" textlink="">
      <xdr:nvSpPr>
        <xdr:cNvPr id="460" name="Рисунок 2">
          <a:extLst>
            <a:ext uri="{FF2B5EF4-FFF2-40B4-BE49-F238E27FC236}">
              <a16:creationId xmlns:a16="http://schemas.microsoft.com/office/drawing/2014/main" xmlns="" id="{7FD8758E-2EC1-4319-886B-BCC88A8E931C}"/>
            </a:ext>
          </a:extLst>
        </xdr:cNvPr>
        <xdr:cNvSpPr>
          <a:spLocks noChangeArrowheads="1"/>
        </xdr:cNvSpPr>
      </xdr:nvSpPr>
      <xdr:spPr bwMode="auto">
        <a:xfrm>
          <a:off x="752475" y="1704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9</xdr:row>
      <xdr:rowOff>180975</xdr:rowOff>
    </xdr:from>
    <xdr:to>
      <xdr:col>1</xdr:col>
      <xdr:colOff>238125</xdr:colOff>
      <xdr:row>10</xdr:row>
      <xdr:rowOff>66675</xdr:rowOff>
    </xdr:to>
    <xdr:sp macro="" textlink="">
      <xdr:nvSpPr>
        <xdr:cNvPr id="461" name="Рисунок 2">
          <a:extLst>
            <a:ext uri="{FF2B5EF4-FFF2-40B4-BE49-F238E27FC236}">
              <a16:creationId xmlns:a16="http://schemas.microsoft.com/office/drawing/2014/main" xmlns="" id="{F27F5C70-E7E2-4994-B40A-5370A1F3FF20}"/>
            </a:ext>
          </a:extLst>
        </xdr:cNvPr>
        <xdr:cNvSpPr>
          <a:spLocks noChangeArrowheads="1"/>
        </xdr:cNvSpPr>
      </xdr:nvSpPr>
      <xdr:spPr bwMode="auto">
        <a:xfrm>
          <a:off x="752475" y="1895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10</xdr:row>
      <xdr:rowOff>180975</xdr:rowOff>
    </xdr:from>
    <xdr:to>
      <xdr:col>1</xdr:col>
      <xdr:colOff>238125</xdr:colOff>
      <xdr:row>11</xdr:row>
      <xdr:rowOff>66675</xdr:rowOff>
    </xdr:to>
    <xdr:sp macro="" textlink="">
      <xdr:nvSpPr>
        <xdr:cNvPr id="462" name="Рисунок 2">
          <a:extLst>
            <a:ext uri="{FF2B5EF4-FFF2-40B4-BE49-F238E27FC236}">
              <a16:creationId xmlns:a16="http://schemas.microsoft.com/office/drawing/2014/main" xmlns="" id="{3B436CCA-1022-4184-A271-550A749571C6}"/>
            </a:ext>
          </a:extLst>
        </xdr:cNvPr>
        <xdr:cNvSpPr>
          <a:spLocks noChangeArrowheads="1"/>
        </xdr:cNvSpPr>
      </xdr:nvSpPr>
      <xdr:spPr bwMode="auto">
        <a:xfrm>
          <a:off x="752475" y="2085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11</xdr:row>
      <xdr:rowOff>180975</xdr:rowOff>
    </xdr:from>
    <xdr:to>
      <xdr:col>1</xdr:col>
      <xdr:colOff>238125</xdr:colOff>
      <xdr:row>12</xdr:row>
      <xdr:rowOff>66675</xdr:rowOff>
    </xdr:to>
    <xdr:sp macro="" textlink="">
      <xdr:nvSpPr>
        <xdr:cNvPr id="463" name="Рисунок 2">
          <a:extLst>
            <a:ext uri="{FF2B5EF4-FFF2-40B4-BE49-F238E27FC236}">
              <a16:creationId xmlns:a16="http://schemas.microsoft.com/office/drawing/2014/main" xmlns="" id="{739DFF27-8886-4019-868F-5931B24938D3}"/>
            </a:ext>
          </a:extLst>
        </xdr:cNvPr>
        <xdr:cNvSpPr>
          <a:spLocks noChangeArrowheads="1"/>
        </xdr:cNvSpPr>
      </xdr:nvSpPr>
      <xdr:spPr bwMode="auto">
        <a:xfrm>
          <a:off x="752475" y="2276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12</xdr:row>
      <xdr:rowOff>180975</xdr:rowOff>
    </xdr:from>
    <xdr:to>
      <xdr:col>1</xdr:col>
      <xdr:colOff>238125</xdr:colOff>
      <xdr:row>13</xdr:row>
      <xdr:rowOff>66675</xdr:rowOff>
    </xdr:to>
    <xdr:sp macro="" textlink="">
      <xdr:nvSpPr>
        <xdr:cNvPr id="464" name="Рисунок 2">
          <a:extLst>
            <a:ext uri="{FF2B5EF4-FFF2-40B4-BE49-F238E27FC236}">
              <a16:creationId xmlns:a16="http://schemas.microsoft.com/office/drawing/2014/main" xmlns="" id="{77B6564A-3D72-4E54-B860-D150E39B8116}"/>
            </a:ext>
          </a:extLst>
        </xdr:cNvPr>
        <xdr:cNvSpPr>
          <a:spLocks noChangeArrowheads="1"/>
        </xdr:cNvSpPr>
      </xdr:nvSpPr>
      <xdr:spPr bwMode="auto">
        <a:xfrm>
          <a:off x="752475" y="2466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13</xdr:row>
      <xdr:rowOff>180975</xdr:rowOff>
    </xdr:from>
    <xdr:to>
      <xdr:col>1</xdr:col>
      <xdr:colOff>238125</xdr:colOff>
      <xdr:row>14</xdr:row>
      <xdr:rowOff>66675</xdr:rowOff>
    </xdr:to>
    <xdr:sp macro="" textlink="">
      <xdr:nvSpPr>
        <xdr:cNvPr id="465" name="Рисунок 2">
          <a:extLst>
            <a:ext uri="{FF2B5EF4-FFF2-40B4-BE49-F238E27FC236}">
              <a16:creationId xmlns:a16="http://schemas.microsoft.com/office/drawing/2014/main" xmlns="" id="{43233EED-B650-4C10-B2E4-D4F3B446A32A}"/>
            </a:ext>
          </a:extLst>
        </xdr:cNvPr>
        <xdr:cNvSpPr>
          <a:spLocks noChangeArrowheads="1"/>
        </xdr:cNvSpPr>
      </xdr:nvSpPr>
      <xdr:spPr bwMode="auto">
        <a:xfrm>
          <a:off x="752475" y="2657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14</xdr:row>
      <xdr:rowOff>180975</xdr:rowOff>
    </xdr:from>
    <xdr:to>
      <xdr:col>1</xdr:col>
      <xdr:colOff>238125</xdr:colOff>
      <xdr:row>15</xdr:row>
      <xdr:rowOff>66675</xdr:rowOff>
    </xdr:to>
    <xdr:sp macro="" textlink="">
      <xdr:nvSpPr>
        <xdr:cNvPr id="466" name="Рисунок 2">
          <a:extLst>
            <a:ext uri="{FF2B5EF4-FFF2-40B4-BE49-F238E27FC236}">
              <a16:creationId xmlns:a16="http://schemas.microsoft.com/office/drawing/2014/main" xmlns="" id="{E719CDFB-3431-45B2-B699-6AD50033C9CC}"/>
            </a:ext>
          </a:extLst>
        </xdr:cNvPr>
        <xdr:cNvSpPr>
          <a:spLocks noChangeArrowheads="1"/>
        </xdr:cNvSpPr>
      </xdr:nvSpPr>
      <xdr:spPr bwMode="auto">
        <a:xfrm>
          <a:off x="752475" y="2847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15</xdr:row>
      <xdr:rowOff>180975</xdr:rowOff>
    </xdr:from>
    <xdr:to>
      <xdr:col>1</xdr:col>
      <xdr:colOff>238125</xdr:colOff>
      <xdr:row>16</xdr:row>
      <xdr:rowOff>66675</xdr:rowOff>
    </xdr:to>
    <xdr:sp macro="" textlink="">
      <xdr:nvSpPr>
        <xdr:cNvPr id="467" name="Рисунок 2">
          <a:extLst>
            <a:ext uri="{FF2B5EF4-FFF2-40B4-BE49-F238E27FC236}">
              <a16:creationId xmlns:a16="http://schemas.microsoft.com/office/drawing/2014/main" xmlns="" id="{9CB0B675-FF2D-4B66-BA45-E6E4DA6795AF}"/>
            </a:ext>
          </a:extLst>
        </xdr:cNvPr>
        <xdr:cNvSpPr>
          <a:spLocks noChangeArrowheads="1"/>
        </xdr:cNvSpPr>
      </xdr:nvSpPr>
      <xdr:spPr bwMode="auto">
        <a:xfrm>
          <a:off x="752475" y="3038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16</xdr:row>
      <xdr:rowOff>180975</xdr:rowOff>
    </xdr:from>
    <xdr:to>
      <xdr:col>1</xdr:col>
      <xdr:colOff>238125</xdr:colOff>
      <xdr:row>17</xdr:row>
      <xdr:rowOff>66675</xdr:rowOff>
    </xdr:to>
    <xdr:sp macro="" textlink="">
      <xdr:nvSpPr>
        <xdr:cNvPr id="468" name="Рисунок 2">
          <a:extLst>
            <a:ext uri="{FF2B5EF4-FFF2-40B4-BE49-F238E27FC236}">
              <a16:creationId xmlns:a16="http://schemas.microsoft.com/office/drawing/2014/main" xmlns="" id="{4D14FF75-80D5-4B83-A806-C4786181922C}"/>
            </a:ext>
          </a:extLst>
        </xdr:cNvPr>
        <xdr:cNvSpPr>
          <a:spLocks noChangeArrowheads="1"/>
        </xdr:cNvSpPr>
      </xdr:nvSpPr>
      <xdr:spPr bwMode="auto">
        <a:xfrm>
          <a:off x="752475" y="3228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17</xdr:row>
      <xdr:rowOff>180975</xdr:rowOff>
    </xdr:from>
    <xdr:to>
      <xdr:col>1</xdr:col>
      <xdr:colOff>238125</xdr:colOff>
      <xdr:row>18</xdr:row>
      <xdr:rowOff>66675</xdr:rowOff>
    </xdr:to>
    <xdr:sp macro="" textlink="">
      <xdr:nvSpPr>
        <xdr:cNvPr id="469" name="Рисунок 2">
          <a:extLst>
            <a:ext uri="{FF2B5EF4-FFF2-40B4-BE49-F238E27FC236}">
              <a16:creationId xmlns:a16="http://schemas.microsoft.com/office/drawing/2014/main" xmlns="" id="{449F997F-BB50-4EFE-952F-E92E884A4004}"/>
            </a:ext>
          </a:extLst>
        </xdr:cNvPr>
        <xdr:cNvSpPr>
          <a:spLocks noChangeArrowheads="1"/>
        </xdr:cNvSpPr>
      </xdr:nvSpPr>
      <xdr:spPr bwMode="auto">
        <a:xfrm>
          <a:off x="752475" y="3419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18</xdr:row>
      <xdr:rowOff>180975</xdr:rowOff>
    </xdr:from>
    <xdr:to>
      <xdr:col>1</xdr:col>
      <xdr:colOff>238125</xdr:colOff>
      <xdr:row>19</xdr:row>
      <xdr:rowOff>66675</xdr:rowOff>
    </xdr:to>
    <xdr:sp macro="" textlink="">
      <xdr:nvSpPr>
        <xdr:cNvPr id="470" name="Рисунок 2">
          <a:extLst>
            <a:ext uri="{FF2B5EF4-FFF2-40B4-BE49-F238E27FC236}">
              <a16:creationId xmlns:a16="http://schemas.microsoft.com/office/drawing/2014/main" xmlns="" id="{A365F91B-6C9D-47D1-99EC-A0420BDE4A62}"/>
            </a:ext>
          </a:extLst>
        </xdr:cNvPr>
        <xdr:cNvSpPr>
          <a:spLocks noChangeArrowheads="1"/>
        </xdr:cNvSpPr>
      </xdr:nvSpPr>
      <xdr:spPr bwMode="auto">
        <a:xfrm>
          <a:off x="752475" y="3609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19</xdr:row>
      <xdr:rowOff>180975</xdr:rowOff>
    </xdr:from>
    <xdr:to>
      <xdr:col>1</xdr:col>
      <xdr:colOff>238125</xdr:colOff>
      <xdr:row>20</xdr:row>
      <xdr:rowOff>66675</xdr:rowOff>
    </xdr:to>
    <xdr:sp macro="" textlink="">
      <xdr:nvSpPr>
        <xdr:cNvPr id="471" name="Рисунок 2">
          <a:extLst>
            <a:ext uri="{FF2B5EF4-FFF2-40B4-BE49-F238E27FC236}">
              <a16:creationId xmlns:a16="http://schemas.microsoft.com/office/drawing/2014/main" xmlns="" id="{683DE895-66D6-4852-B1BB-C581E7027F28}"/>
            </a:ext>
          </a:extLst>
        </xdr:cNvPr>
        <xdr:cNvSpPr>
          <a:spLocks noChangeArrowheads="1"/>
        </xdr:cNvSpPr>
      </xdr:nvSpPr>
      <xdr:spPr bwMode="auto">
        <a:xfrm>
          <a:off x="752475" y="3800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20</xdr:row>
      <xdr:rowOff>180975</xdr:rowOff>
    </xdr:from>
    <xdr:to>
      <xdr:col>1</xdr:col>
      <xdr:colOff>238125</xdr:colOff>
      <xdr:row>21</xdr:row>
      <xdr:rowOff>66675</xdr:rowOff>
    </xdr:to>
    <xdr:sp macro="" textlink="">
      <xdr:nvSpPr>
        <xdr:cNvPr id="472" name="Рисунок 2">
          <a:extLst>
            <a:ext uri="{FF2B5EF4-FFF2-40B4-BE49-F238E27FC236}">
              <a16:creationId xmlns:a16="http://schemas.microsoft.com/office/drawing/2014/main" xmlns="" id="{4E38ACB3-777C-4C0E-9CAB-D54AD5E82956}"/>
            </a:ext>
          </a:extLst>
        </xdr:cNvPr>
        <xdr:cNvSpPr>
          <a:spLocks noChangeArrowheads="1"/>
        </xdr:cNvSpPr>
      </xdr:nvSpPr>
      <xdr:spPr bwMode="auto">
        <a:xfrm>
          <a:off x="752475" y="3990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21</xdr:row>
      <xdr:rowOff>180975</xdr:rowOff>
    </xdr:from>
    <xdr:to>
      <xdr:col>1</xdr:col>
      <xdr:colOff>238125</xdr:colOff>
      <xdr:row>22</xdr:row>
      <xdr:rowOff>66675</xdr:rowOff>
    </xdr:to>
    <xdr:sp macro="" textlink="">
      <xdr:nvSpPr>
        <xdr:cNvPr id="473" name="Рисунок 2">
          <a:extLst>
            <a:ext uri="{FF2B5EF4-FFF2-40B4-BE49-F238E27FC236}">
              <a16:creationId xmlns:a16="http://schemas.microsoft.com/office/drawing/2014/main" xmlns="" id="{2E3E5AC2-A2A7-4DCC-8F89-B250BB900E21}"/>
            </a:ext>
          </a:extLst>
        </xdr:cNvPr>
        <xdr:cNvSpPr>
          <a:spLocks noChangeArrowheads="1"/>
        </xdr:cNvSpPr>
      </xdr:nvSpPr>
      <xdr:spPr bwMode="auto">
        <a:xfrm>
          <a:off x="752475" y="4181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22</xdr:row>
      <xdr:rowOff>180975</xdr:rowOff>
    </xdr:from>
    <xdr:to>
      <xdr:col>1</xdr:col>
      <xdr:colOff>238125</xdr:colOff>
      <xdr:row>23</xdr:row>
      <xdr:rowOff>66675</xdr:rowOff>
    </xdr:to>
    <xdr:sp macro="" textlink="">
      <xdr:nvSpPr>
        <xdr:cNvPr id="474" name="Рисунок 2">
          <a:extLst>
            <a:ext uri="{FF2B5EF4-FFF2-40B4-BE49-F238E27FC236}">
              <a16:creationId xmlns:a16="http://schemas.microsoft.com/office/drawing/2014/main" xmlns="" id="{A0F7CDDC-788C-463F-8442-5DCA3EEC8C34}"/>
            </a:ext>
          </a:extLst>
        </xdr:cNvPr>
        <xdr:cNvSpPr>
          <a:spLocks noChangeArrowheads="1"/>
        </xdr:cNvSpPr>
      </xdr:nvSpPr>
      <xdr:spPr bwMode="auto">
        <a:xfrm>
          <a:off x="752475" y="4371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23</xdr:row>
      <xdr:rowOff>180975</xdr:rowOff>
    </xdr:from>
    <xdr:to>
      <xdr:col>1</xdr:col>
      <xdr:colOff>238125</xdr:colOff>
      <xdr:row>24</xdr:row>
      <xdr:rowOff>66675</xdr:rowOff>
    </xdr:to>
    <xdr:sp macro="" textlink="">
      <xdr:nvSpPr>
        <xdr:cNvPr id="475" name="Рисунок 2">
          <a:extLst>
            <a:ext uri="{FF2B5EF4-FFF2-40B4-BE49-F238E27FC236}">
              <a16:creationId xmlns:a16="http://schemas.microsoft.com/office/drawing/2014/main" xmlns="" id="{F89BAC4E-5007-4D29-AA69-BBC280AA28CB}"/>
            </a:ext>
          </a:extLst>
        </xdr:cNvPr>
        <xdr:cNvSpPr>
          <a:spLocks noChangeArrowheads="1"/>
        </xdr:cNvSpPr>
      </xdr:nvSpPr>
      <xdr:spPr bwMode="auto">
        <a:xfrm>
          <a:off x="752475" y="4562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24</xdr:row>
      <xdr:rowOff>180975</xdr:rowOff>
    </xdr:from>
    <xdr:to>
      <xdr:col>1</xdr:col>
      <xdr:colOff>238125</xdr:colOff>
      <xdr:row>25</xdr:row>
      <xdr:rowOff>66675</xdr:rowOff>
    </xdr:to>
    <xdr:sp macro="" textlink="">
      <xdr:nvSpPr>
        <xdr:cNvPr id="476" name="Рисунок 2">
          <a:extLst>
            <a:ext uri="{FF2B5EF4-FFF2-40B4-BE49-F238E27FC236}">
              <a16:creationId xmlns:a16="http://schemas.microsoft.com/office/drawing/2014/main" xmlns="" id="{824D3E51-3C34-4176-A341-20D4C6F1A23F}"/>
            </a:ext>
          </a:extLst>
        </xdr:cNvPr>
        <xdr:cNvSpPr>
          <a:spLocks noChangeArrowheads="1"/>
        </xdr:cNvSpPr>
      </xdr:nvSpPr>
      <xdr:spPr bwMode="auto">
        <a:xfrm>
          <a:off x="752475" y="4752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25</xdr:row>
      <xdr:rowOff>180975</xdr:rowOff>
    </xdr:from>
    <xdr:to>
      <xdr:col>1</xdr:col>
      <xdr:colOff>238125</xdr:colOff>
      <xdr:row>26</xdr:row>
      <xdr:rowOff>66675</xdr:rowOff>
    </xdr:to>
    <xdr:sp macro="" textlink="">
      <xdr:nvSpPr>
        <xdr:cNvPr id="477" name="Рисунок 2">
          <a:extLst>
            <a:ext uri="{FF2B5EF4-FFF2-40B4-BE49-F238E27FC236}">
              <a16:creationId xmlns:a16="http://schemas.microsoft.com/office/drawing/2014/main" xmlns="" id="{119A4C6F-DB81-4D45-AB2A-413F5656295D}"/>
            </a:ext>
          </a:extLst>
        </xdr:cNvPr>
        <xdr:cNvSpPr>
          <a:spLocks noChangeArrowheads="1"/>
        </xdr:cNvSpPr>
      </xdr:nvSpPr>
      <xdr:spPr bwMode="auto">
        <a:xfrm>
          <a:off x="752475" y="49434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142875</xdr:colOff>
      <xdr:row>26</xdr:row>
      <xdr:rowOff>180975</xdr:rowOff>
    </xdr:from>
    <xdr:to>
      <xdr:col>1</xdr:col>
      <xdr:colOff>238125</xdr:colOff>
      <xdr:row>27</xdr:row>
      <xdr:rowOff>66675</xdr:rowOff>
    </xdr:to>
    <xdr:sp macro="" textlink="">
      <xdr:nvSpPr>
        <xdr:cNvPr id="478" name="Рисунок 2">
          <a:extLst>
            <a:ext uri="{FF2B5EF4-FFF2-40B4-BE49-F238E27FC236}">
              <a16:creationId xmlns:a16="http://schemas.microsoft.com/office/drawing/2014/main" xmlns="" id="{FB3FF851-298E-41EF-BBD6-5A59F8096743}"/>
            </a:ext>
          </a:extLst>
        </xdr:cNvPr>
        <xdr:cNvSpPr>
          <a:spLocks noChangeArrowheads="1"/>
        </xdr:cNvSpPr>
      </xdr:nvSpPr>
      <xdr:spPr bwMode="auto">
        <a:xfrm>
          <a:off x="752475" y="5133975"/>
          <a:ext cx="95250" cy="7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247650</xdr:colOff>
      <xdr:row>8</xdr:row>
      <xdr:rowOff>152400</xdr:rowOff>
    </xdr:from>
    <xdr:to>
      <xdr:col>1</xdr:col>
      <xdr:colOff>466725</xdr:colOff>
      <xdr:row>9</xdr:row>
      <xdr:rowOff>171450</xdr:rowOff>
    </xdr:to>
    <xdr:pic>
      <xdr:nvPicPr>
        <xdr:cNvPr id="479" name="Picture 6">
          <a:extLst>
            <a:ext uri="{FF2B5EF4-FFF2-40B4-BE49-F238E27FC236}">
              <a16:creationId xmlns:a16="http://schemas.microsoft.com/office/drawing/2014/main" xmlns="" id="{D581EF6A-DECA-4659-BB92-ACADAB8BB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76400"/>
          <a:ext cx="219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247650</xdr:colOff>
      <xdr:row>12</xdr:row>
      <xdr:rowOff>66675</xdr:rowOff>
    </xdr:from>
    <xdr:to>
      <xdr:col>1</xdr:col>
      <xdr:colOff>466725</xdr:colOff>
      <xdr:row>13</xdr:row>
      <xdr:rowOff>85725</xdr:rowOff>
    </xdr:to>
    <xdr:pic>
      <xdr:nvPicPr>
        <xdr:cNvPr id="480" name="Picture 8">
          <a:extLst>
            <a:ext uri="{FF2B5EF4-FFF2-40B4-BE49-F238E27FC236}">
              <a16:creationId xmlns:a16="http://schemas.microsoft.com/office/drawing/2014/main" xmlns="" id="{2AC3218A-6C10-41CD-9B62-5DCEB8AC1E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352675"/>
          <a:ext cx="219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466725</xdr:colOff>
      <xdr:row>22</xdr:row>
      <xdr:rowOff>104775</xdr:rowOff>
    </xdr:from>
    <xdr:to>
      <xdr:col>1</xdr:col>
      <xdr:colOff>533400</xdr:colOff>
      <xdr:row>22</xdr:row>
      <xdr:rowOff>171450</xdr:rowOff>
    </xdr:to>
    <xdr:sp macro="" textlink="">
      <xdr:nvSpPr>
        <xdr:cNvPr id="481" name="Rectangle 9">
          <a:extLst>
            <a:ext uri="{FF2B5EF4-FFF2-40B4-BE49-F238E27FC236}">
              <a16:creationId xmlns:a16="http://schemas.microsoft.com/office/drawing/2014/main" xmlns="" id="{2AD4B3E7-6D98-4FF7-A948-E7ADF805A9F1}"/>
            </a:ext>
          </a:extLst>
        </xdr:cNvPr>
        <xdr:cNvSpPr>
          <a:spLocks noChangeArrowheads="1"/>
        </xdr:cNvSpPr>
      </xdr:nvSpPr>
      <xdr:spPr bwMode="auto">
        <a:xfrm>
          <a:off x="1076325" y="4295775"/>
          <a:ext cx="66675" cy="666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666699" mc:Ignorable="a14" a14:legacySpreadsheetColorIndex="54"/>
        </a:solidFill>
        <a:ln w="24765" cap="flat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prstDash val="solid"/>
          <a:miter lim="800000"/>
          <a:headEnd/>
          <a:tailEnd/>
        </a:ln>
      </xdr:spPr>
    </xdr:sp>
    <xdr:clientData/>
  </xdr:twoCellAnchor>
  <xdr:twoCellAnchor editAs="oneCell">
    <xdr:from>
      <xdr:col>1</xdr:col>
      <xdr:colOff>285750</xdr:colOff>
      <xdr:row>0</xdr:row>
      <xdr:rowOff>57150</xdr:rowOff>
    </xdr:from>
    <xdr:to>
      <xdr:col>5</xdr:col>
      <xdr:colOff>190500</xdr:colOff>
      <xdr:row>5</xdr:row>
      <xdr:rowOff>123825</xdr:rowOff>
    </xdr:to>
    <xdr:pic>
      <xdr:nvPicPr>
        <xdr:cNvPr id="482" name="Рисунок 242">
          <a:extLst>
            <a:ext uri="{FF2B5EF4-FFF2-40B4-BE49-F238E27FC236}">
              <a16:creationId xmlns:a16="http://schemas.microsoft.com/office/drawing/2014/main" xmlns="" id="{491E7B05-4C8D-4B35-A44C-D494F94EA4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7150"/>
          <a:ext cx="23431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19050</xdr:colOff>
      <xdr:row>8</xdr:row>
      <xdr:rowOff>85725</xdr:rowOff>
    </xdr:from>
    <xdr:to>
      <xdr:col>15</xdr:col>
      <xdr:colOff>590550</xdr:colOff>
      <xdr:row>9</xdr:row>
      <xdr:rowOff>171450</xdr:rowOff>
    </xdr:to>
    <xdr:pic>
      <xdr:nvPicPr>
        <xdr:cNvPr id="483" name="Рисунок 1">
          <a:extLst>
            <a:ext uri="{FF2B5EF4-FFF2-40B4-BE49-F238E27FC236}">
              <a16:creationId xmlns:a16="http://schemas.microsoft.com/office/drawing/2014/main" xmlns="" id="{2D6C46FA-2CBB-4C2E-ACF7-59120B8AA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1609725"/>
          <a:ext cx="84963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47625</xdr:colOff>
      <xdr:row>11</xdr:row>
      <xdr:rowOff>180975</xdr:rowOff>
    </xdr:from>
    <xdr:to>
      <xdr:col>9</xdr:col>
      <xdr:colOff>447675</xdr:colOff>
      <xdr:row>13</xdr:row>
      <xdr:rowOff>85725</xdr:rowOff>
    </xdr:to>
    <xdr:pic>
      <xdr:nvPicPr>
        <xdr:cNvPr id="484" name="Рисунок 2">
          <a:extLst>
            <a:ext uri="{FF2B5EF4-FFF2-40B4-BE49-F238E27FC236}">
              <a16:creationId xmlns:a16="http://schemas.microsoft.com/office/drawing/2014/main" xmlns="" id="{4A5549F8-A351-4CA0-937C-8C9EB3ECD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" y="2276475"/>
          <a:ext cx="46672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O103:AS161"/>
  <sheetViews>
    <sheetView showFormulas="1" zoomScaleNormal="100" workbookViewId="0"/>
  </sheetViews>
  <sheetFormatPr defaultColWidth="4.5703125" defaultRowHeight="15" x14ac:dyDescent="0.25"/>
  <cols>
    <col min="40" max="40" width="4.42578125" customWidth="1"/>
    <col min="41" max="45" width="4.5703125" hidden="1" customWidth="1"/>
  </cols>
  <sheetData>
    <row r="103" spans="41:45" x14ac:dyDescent="0.25">
      <c r="AO103" s="1"/>
      <c r="AP103" s="1"/>
      <c r="AQ103" s="1"/>
      <c r="AR103" s="1"/>
      <c r="AS103" s="1"/>
    </row>
    <row r="104" spans="41:45" x14ac:dyDescent="0.25">
      <c r="AO104" s="1"/>
      <c r="AP104" s="1"/>
      <c r="AQ104" s="1"/>
      <c r="AR104" s="1"/>
      <c r="AS104" s="1"/>
    </row>
    <row r="105" spans="41:45" x14ac:dyDescent="0.25">
      <c r="AO105" s="1"/>
      <c r="AP105" s="1"/>
      <c r="AQ105" t="str">
        <f>"..\cexyz1.dll"</f>
        <v>..\cexyz1.dll</v>
      </c>
      <c r="AR105" s="1"/>
      <c r="AS105" s="1"/>
    </row>
    <row r="106" spans="41:45" x14ac:dyDescent="0.25">
      <c r="AO106" s="1"/>
      <c r="AP106" s="1"/>
      <c r="AQ106" s="1" t="str">
        <f>"..\cexyz2.dll"</f>
        <v>..\cexyz2.dll</v>
      </c>
      <c r="AR106" s="1"/>
      <c r="AS106" s="1"/>
    </row>
    <row r="107" spans="41:45" x14ac:dyDescent="0.25">
      <c r="AO107" s="1"/>
      <c r="AP107" s="1"/>
      <c r="AQ107" s="1"/>
      <c r="AR107" s="1"/>
      <c r="AS107" s="2"/>
    </row>
    <row r="108" spans="41:45" x14ac:dyDescent="0.25">
      <c r="AO108" s="1"/>
      <c r="AP108" s="1"/>
      <c r="AQ108" s="1" t="str">
        <f>"https://ecology-japan.com/nHi2nZU1fqyM/gg.html"</f>
        <v>https://ecology-japan.com/nHi2nZU1fqyM/gg.html</v>
      </c>
      <c r="AR108" s="1"/>
      <c r="AS108" s="1"/>
    </row>
    <row r="109" spans="41:45" x14ac:dyDescent="0.25">
      <c r="AO109" s="1"/>
      <c r="AP109" s="1"/>
      <c r="AQ109" s="1" t="str">
        <f>"https://jjcart.net/TQuC4kcg/gg.html"</f>
        <v>https://jjcart.net/TQuC4kcg/gg.html</v>
      </c>
      <c r="AR109" s="1"/>
      <c r="AS109" s="1"/>
    </row>
    <row r="110" spans="41:45" x14ac:dyDescent="0.25">
      <c r="AO110" s="1"/>
      <c r="AP110" s="1"/>
      <c r="AQ110" s="1"/>
      <c r="AR110" s="1"/>
      <c r="AS110" s="1"/>
    </row>
    <row r="111" spans="41:45" x14ac:dyDescent="0.25">
      <c r="AO111" s="1"/>
      <c r="AP111" s="1"/>
      <c r="AQ111" s="1"/>
      <c r="AR111" s="1"/>
      <c r="AS111" s="1"/>
    </row>
    <row r="112" spans="41:45" x14ac:dyDescent="0.25">
      <c r="AO112" s="2"/>
      <c r="AP112" s="1"/>
      <c r="AQ112" s="1"/>
      <c r="AR112" s="1"/>
      <c r="AS112" s="1"/>
    </row>
    <row r="113" spans="41:45" x14ac:dyDescent="0.25">
      <c r="AO113" s="2" t="b">
        <f>FORMULA('Doc2'!AQ130&amp;'Doc2'!AQ131&amp;'Doc2'!AQ132,'Doc2'!AQ148)</f>
        <v>1</v>
      </c>
      <c r="AP113" s="1"/>
      <c r="AQ113" s="2"/>
      <c r="AR113" s="2" t="s">
        <v>0</v>
      </c>
      <c r="AS113" s="1"/>
    </row>
    <row r="114" spans="41:45" x14ac:dyDescent="0.25">
      <c r="AO114" s="2" t="b">
        <f>FORMULA('Doc2'!AQ114&amp;'Doc2'!AQ115&amp;'Doc2'!AQ116&amp;'Doc2'!AQ117&amp;'Doc2'!AQ118,'Doc2'!AQ149)</f>
        <v>1</v>
      </c>
      <c r="AP114" s="1"/>
      <c r="AQ114" s="2" t="s">
        <v>1</v>
      </c>
      <c r="AR114" s="2" t="s">
        <v>2</v>
      </c>
      <c r="AS114" s="1"/>
    </row>
    <row r="115" spans="41:45" x14ac:dyDescent="0.25">
      <c r="AO115" s="1"/>
      <c r="AP115" s="1"/>
      <c r="AQ115" s="2" t="s">
        <v>3</v>
      </c>
      <c r="AR115" s="2" t="s">
        <v>4</v>
      </c>
      <c r="AS115" s="1"/>
    </row>
    <row r="116" spans="41:45" x14ac:dyDescent="0.25">
      <c r="AO116" s="1"/>
      <c r="AP116" s="1"/>
      <c r="AQ116" s="2" t="s">
        <v>5</v>
      </c>
      <c r="AR116" s="2"/>
      <c r="AS116" s="1"/>
    </row>
    <row r="117" spans="41:45" x14ac:dyDescent="0.25">
      <c r="AO117" s="1"/>
      <c r="AP117" s="1"/>
      <c r="AQ117" s="2" t="s">
        <v>6</v>
      </c>
      <c r="AR117" s="2"/>
      <c r="AS117" s="1"/>
    </row>
    <row r="118" spans="41:45" x14ac:dyDescent="0.25">
      <c r="AO118" s="1"/>
      <c r="AP118" s="1"/>
      <c r="AQ118" s="2" t="str">
        <f>RIGHT("rsthYFGIPUYiugeA",2)</f>
        <v>eA</v>
      </c>
      <c r="AR118" s="2"/>
      <c r="AS118" s="1"/>
    </row>
    <row r="119" spans="41:45" x14ac:dyDescent="0.25">
      <c r="AO119" s="1"/>
      <c r="AP119" s="1"/>
      <c r="AQ119" s="1"/>
      <c r="AR119" s="1"/>
      <c r="AS119" s="1"/>
    </row>
    <row r="120" spans="41:45" x14ac:dyDescent="0.25">
      <c r="AO120" s="2" t="b">
        <f>FORMULA.ARRAY(AR113&amp;AR114&amp;AR115,'Doc2'!AQ150)='Doc3'!AG5()</f>
        <v>1</v>
      </c>
      <c r="AP120" s="1"/>
      <c r="AQ120" s="1"/>
      <c r="AR120" s="1"/>
      <c r="AS120" s="1"/>
    </row>
    <row r="121" spans="41:45" x14ac:dyDescent="0.25">
      <c r="AP121" s="1"/>
      <c r="AQ121" s="1"/>
      <c r="AR121" s="1"/>
      <c r="AS121" s="1"/>
    </row>
    <row r="122" spans="41:45" x14ac:dyDescent="0.25">
      <c r="AO122" s="1"/>
      <c r="AP122" s="1"/>
      <c r="AQ122" s="1" t="s">
        <v>7</v>
      </c>
      <c r="AR122" s="1" t="s">
        <v>7</v>
      </c>
      <c r="AS122" s="1"/>
    </row>
    <row r="123" spans="41:45" x14ac:dyDescent="0.25">
      <c r="AO123" s="2"/>
      <c r="AP123" s="1"/>
      <c r="AR123" s="1" t="s">
        <v>24</v>
      </c>
      <c r="AS123" s="1"/>
    </row>
    <row r="124" spans="41:45" x14ac:dyDescent="0.25">
      <c r="AO124" s="1"/>
      <c r="AP124" s="1"/>
      <c r="AQ124" s="2"/>
      <c r="AR124" s="1"/>
      <c r="AS124" s="1"/>
    </row>
    <row r="125" spans="41:45" x14ac:dyDescent="0.25">
      <c r="AO125" s="1"/>
      <c r="AP125" s="1"/>
      <c r="AQ125" s="1"/>
      <c r="AR125" s="1"/>
      <c r="AS125" s="1"/>
    </row>
    <row r="126" spans="41:45" x14ac:dyDescent="0.25">
      <c r="AO126" s="1"/>
      <c r="AP126" s="1"/>
      <c r="AQ126" s="2"/>
      <c r="AR126" s="1"/>
      <c r="AS126" s="1"/>
    </row>
    <row r="127" spans="41:45" x14ac:dyDescent="0.25">
      <c r="AP127" s="1"/>
      <c r="AQ127" s="2"/>
      <c r="AR127" s="1"/>
      <c r="AS127" s="1"/>
    </row>
    <row r="128" spans="41:45" x14ac:dyDescent="0.25">
      <c r="AP128" s="1"/>
      <c r="AQ128" s="2"/>
      <c r="AR128" s="1"/>
      <c r="AS128" s="1"/>
    </row>
    <row r="129" spans="41:45" x14ac:dyDescent="0.25">
      <c r="AO129" s="1"/>
      <c r="AP129" s="1"/>
      <c r="AQ129" s="2"/>
      <c r="AR129" s="1"/>
      <c r="AS129" s="1"/>
    </row>
    <row r="130" spans="41:45" x14ac:dyDescent="0.25">
      <c r="AO130" s="1"/>
      <c r="AP130" s="1"/>
      <c r="AQ130" s="2" t="s">
        <v>8</v>
      </c>
      <c r="AR130" s="1"/>
      <c r="AS130" s="1"/>
    </row>
    <row r="131" spans="41:45" x14ac:dyDescent="0.25">
      <c r="AO131" t="b">
        <f>FORMULA(AS135&amp;AS136&amp;AS137&amp;AS138,AQ151)</f>
        <v>1</v>
      </c>
      <c r="AP131" s="1"/>
      <c r="AQ131" s="2" t="s">
        <v>9</v>
      </c>
      <c r="AR131" s="1"/>
      <c r="AS131" s="1"/>
    </row>
    <row r="132" spans="41:45" x14ac:dyDescent="0.25">
      <c r="AP132" s="1"/>
      <c r="AQ132" s="2" t="str">
        <f>RIGHT("ijkmzfviuhjdfbvon",2)</f>
        <v>on</v>
      </c>
      <c r="AR132" s="1"/>
      <c r="AS132" s="1"/>
    </row>
    <row r="133" spans="41:45" x14ac:dyDescent="0.25">
      <c r="AO133" s="1" t="b">
        <f>FORMULA(AQ122&amp;AQ151&amp;'Doc2'!AQ154&amp;'Doc2'!AQ105&amp;'Doc2'!AR135,'Doc2'!AO150)</f>
        <v>1</v>
      </c>
      <c r="AP133" s="1"/>
      <c r="AQ133" s="2"/>
      <c r="AR133" s="1"/>
      <c r="AS133" s="1"/>
    </row>
    <row r="134" spans="41:45" x14ac:dyDescent="0.25">
      <c r="AO134" s="1" t="b">
        <f>FORMULA(AQ122&amp;AQ151&amp;'Doc2'!AQ154&amp;'Doc2'!AQ106&amp;'Doc2'!AR135,'Doc2'!AO151)</f>
        <v>1</v>
      </c>
      <c r="AP134" s="1"/>
      <c r="AQ134" s="2">
        <v>0</v>
      </c>
      <c r="AR134" s="1"/>
      <c r="AS134" s="1"/>
    </row>
    <row r="135" spans="41:45" x14ac:dyDescent="0.25">
      <c r="AP135" s="1"/>
      <c r="AQ135" s="1"/>
      <c r="AR135" s="1" t="s">
        <v>10</v>
      </c>
      <c r="AS135" s="1" t="s">
        <v>11</v>
      </c>
    </row>
    <row r="136" spans="41:45" x14ac:dyDescent="0.25">
      <c r="AO136" s="2"/>
      <c r="AP136" s="1"/>
      <c r="AQ136" s="1" t="s">
        <v>12</v>
      </c>
      <c r="AR136" s="1" t="s">
        <v>12</v>
      </c>
      <c r="AS136" s="1" t="s">
        <v>13</v>
      </c>
    </row>
    <row r="137" spans="41:45" x14ac:dyDescent="0.25">
      <c r="AP137" s="1"/>
      <c r="AQ137" s="1" t="s">
        <v>14</v>
      </c>
      <c r="AR137" s="1" t="s">
        <v>15</v>
      </c>
      <c r="AS137" s="1" t="s">
        <v>11</v>
      </c>
    </row>
    <row r="138" spans="41:45" x14ac:dyDescent="0.25">
      <c r="AP138" s="1"/>
      <c r="AQ138" s="1" t="s">
        <v>16</v>
      </c>
      <c r="AR138" s="1" t="s">
        <v>17</v>
      </c>
      <c r="AS138" s="1" t="s">
        <v>18</v>
      </c>
    </row>
    <row r="139" spans="41:45" x14ac:dyDescent="0.25">
      <c r="AP139" s="1"/>
      <c r="AQ139" s="1" t="s">
        <v>19</v>
      </c>
      <c r="AR139" s="1" t="s">
        <v>20</v>
      </c>
      <c r="AS139" s="1"/>
    </row>
    <row r="140" spans="41:45" x14ac:dyDescent="0.25">
      <c r="AP140" s="1"/>
      <c r="AQ140" s="1" t="s">
        <v>21</v>
      </c>
      <c r="AR140" s="1" t="s">
        <v>22</v>
      </c>
      <c r="AS140" s="1"/>
    </row>
    <row r="141" spans="41:45" x14ac:dyDescent="0.25">
      <c r="AO141" s="1"/>
      <c r="AP141" s="1"/>
      <c r="AQ141" s="1" t="s">
        <v>23</v>
      </c>
      <c r="AR141" s="1"/>
      <c r="AS141" s="1"/>
    </row>
    <row r="142" spans="41:45" x14ac:dyDescent="0.25">
      <c r="AO142" s="1"/>
      <c r="AP142" s="1"/>
      <c r="AQ142" s="1">
        <v>3</v>
      </c>
      <c r="AR142" s="1">
        <v>0</v>
      </c>
      <c r="AS142" s="1"/>
    </row>
    <row r="143" spans="41:45" x14ac:dyDescent="0.25">
      <c r="AO143" s="1"/>
      <c r="AP143" s="1"/>
      <c r="AQ143" s="1"/>
      <c r="AR143" s="1"/>
      <c r="AS143" s="1"/>
    </row>
    <row r="144" spans="41:45" x14ac:dyDescent="0.25">
      <c r="AO144" s="1"/>
      <c r="AP144" s="1"/>
      <c r="AQ144" s="1"/>
      <c r="AR144" s="1"/>
      <c r="AS144" s="1"/>
    </row>
    <row r="145" spans="41:45" x14ac:dyDescent="0.25">
      <c r="AO145" s="1"/>
      <c r="AP145" s="1"/>
      <c r="AQ145" s="1"/>
      <c r="AR145" s="1"/>
      <c r="AS145" s="1"/>
    </row>
    <row r="146" spans="41:45" x14ac:dyDescent="0.25">
      <c r="AO146" s="1"/>
      <c r="AP146" s="1"/>
      <c r="AQ146" s="1"/>
      <c r="AR146" s="2"/>
      <c r="AS146" s="2"/>
    </row>
    <row r="147" spans="41:45" x14ac:dyDescent="0.25">
      <c r="AO147" s="1"/>
      <c r="AP147" s="1"/>
      <c r="AQ147" s="1"/>
      <c r="AR147" s="1"/>
      <c r="AS147" s="1"/>
    </row>
    <row r="148" spans="41:45" x14ac:dyDescent="0.25">
      <c r="AO148" s="2"/>
      <c r="AP148" s="1"/>
      <c r="AQ148" s="2"/>
      <c r="AR148" s="1"/>
      <c r="AS148" s="1"/>
    </row>
    <row r="149" spans="41:45" x14ac:dyDescent="0.25">
      <c r="AO149" s="1"/>
      <c r="AP149" s="1"/>
      <c r="AQ149" s="2"/>
      <c r="AR149" s="1"/>
      <c r="AS149" s="1"/>
    </row>
    <row r="150" spans="41:45" x14ac:dyDescent="0.25">
      <c r="AO150" s="2"/>
      <c r="AP150" s="2"/>
      <c r="AQ150" s="2"/>
      <c r="AR150" s="1"/>
      <c r="AS150" s="1"/>
    </row>
    <row r="151" spans="41:45" x14ac:dyDescent="0.25">
      <c r="AO151" s="1"/>
      <c r="AP151" s="1"/>
      <c r="AQ151" s="1"/>
      <c r="AR151" s="1"/>
      <c r="AS151" s="1"/>
    </row>
    <row r="152" spans="41:45" x14ac:dyDescent="0.25">
      <c r="AP152" s="1"/>
      <c r="AQ152" s="2"/>
      <c r="AR152" s="1"/>
      <c r="AS152" s="1"/>
    </row>
    <row r="153" spans="41:45" x14ac:dyDescent="0.25">
      <c r="AP153" s="1"/>
      <c r="AQ153" s="1"/>
      <c r="AR153" s="1"/>
      <c r="AS153" s="1"/>
    </row>
    <row r="154" spans="41:45" x14ac:dyDescent="0.25">
      <c r="AP154" s="1"/>
      <c r="AQ154" s="1"/>
      <c r="AR154" s="1"/>
      <c r="AS154" s="1"/>
    </row>
    <row r="155" spans="41:45" x14ac:dyDescent="0.25">
      <c r="AP155" s="1"/>
      <c r="AQ155" s="1"/>
      <c r="AR155" s="1"/>
      <c r="AS155" s="1"/>
    </row>
    <row r="156" spans="41:45" x14ac:dyDescent="0.25">
      <c r="AO156" s="1"/>
      <c r="AP156" s="1"/>
      <c r="AQ156" s="1"/>
      <c r="AR156" s="1"/>
      <c r="AS156" s="1"/>
    </row>
    <row r="157" spans="41:45" x14ac:dyDescent="0.25">
      <c r="AO157" s="1"/>
      <c r="AP157" s="1"/>
      <c r="AQ157" s="1"/>
      <c r="AR157" s="1"/>
      <c r="AS157" s="1"/>
    </row>
    <row r="158" spans="41:45" x14ac:dyDescent="0.25">
      <c r="AO158" t="b">
        <f>HALT()</f>
        <v>1</v>
      </c>
      <c r="AP158" s="1"/>
      <c r="AQ158" s="1"/>
      <c r="AR158" s="1"/>
      <c r="AS158" s="1"/>
    </row>
    <row r="159" spans="41:45" x14ac:dyDescent="0.25">
      <c r="AO159" s="1"/>
      <c r="AP159" s="1"/>
      <c r="AQ159" s="1"/>
      <c r="AR159" s="1"/>
      <c r="AS159" s="1"/>
    </row>
    <row r="160" spans="41:45" x14ac:dyDescent="0.25">
      <c r="AO160" s="1"/>
      <c r="AR160" s="1"/>
    </row>
    <row r="161" spans="41:44" x14ac:dyDescent="0.25">
      <c r="AO161" s="1"/>
      <c r="AR161" s="1"/>
    </row>
  </sheetData>
  <pageMargins left="0.7" right="0.7" top="0.75" bottom="0.75" header="0.3" footer="0.3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G6"/>
  <sheetViews>
    <sheetView showFormulas="1" zoomScaleNormal="100" workbookViewId="0"/>
  </sheetViews>
  <sheetFormatPr defaultColWidth="4.5703125" defaultRowHeight="15" x14ac:dyDescent="0.25"/>
  <cols>
    <col min="32" max="32" width="4.5703125" customWidth="1"/>
    <col min="33" max="33" width="4.5703125" hidden="1" customWidth="1"/>
  </cols>
  <sheetData>
    <row r="6" spans="33:33" x14ac:dyDescent="0.25">
      <c r="AG6" s="1" t="b">
        <f>FORMULA.FILL('Doc2'!AR122&amp;'Doc2'!AR123&amp;'Doc2'!AR136&amp;'Doc2'!AQ148&amp;'Doc2'!AR137&amp;'Doc2'!AR140&amp;'Doc2'!AR137&amp;'Doc2'!AQ149&amp;'Doc2'!AR137&amp;'Doc2'!AR140&amp;'Doc2'!AR137&amp;'Doc2'!AQ150&amp;'Doc2'!AR137&amp;'Doc2'!AR140&amp;'Doc2'!AR142&amp;'Doc2'!AR140&amp;'Doc2'!AR137&amp;'Doc2'!AQ108&amp;'Doc2'!AR137&amp;'Doc2'!AR140&amp;'Doc2'!AR137&amp;'Doc2'!AQ105&amp;'Doc2'!AR137&amp;'Doc2'!AR140&amp;'Doc2'!AR142&amp;'Doc2'!AR140&amp;'Doc2'!AR142&amp;'Doc2'!AR139,'Doc2'!AO148)='Doc4'!AI4()</f>
        <v>1</v>
      </c>
    </row>
  </sheetData>
  <pageMargins left="0.7" right="0.7" top="0.75" bottom="0.75" header="0.3" footer="0.3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I6"/>
  <sheetViews>
    <sheetView showFormulas="1" workbookViewId="0"/>
  </sheetViews>
  <sheetFormatPr defaultColWidth="4.5703125" defaultRowHeight="15" x14ac:dyDescent="0.25"/>
  <cols>
    <col min="34" max="34" width="4.5703125" customWidth="1"/>
    <col min="35" max="35" width="4.5703125" hidden="1" customWidth="1"/>
  </cols>
  <sheetData>
    <row r="6" spans="35:35" x14ac:dyDescent="0.25">
      <c r="AI6" s="1" t="b">
        <f>FORMULA.FILL('Doc2'!AR122&amp;'Doc2'!AR123&amp;'Doc2'!AR136&amp;'Doc2'!AQ148&amp;'Doc2'!AR137&amp;'Doc2'!AR140&amp;'Doc2'!AR137&amp;'Doc2'!AQ149&amp;'Doc2'!AR137&amp;'Doc2'!AR140&amp;'Doc2'!AR137&amp;'Doc2'!AQ150&amp;'Doc2'!AR137&amp;'Doc2'!AR140&amp;'Doc2'!AR142&amp;'Doc2'!AR140&amp;'Doc2'!AR137&amp;'Doc2'!AQ109&amp;'Doc2'!AR137&amp;'Doc2'!AR140&amp;'Doc2'!AR137&amp;'Doc2'!AQ106&amp;'Doc2'!AR137&amp;'Doc2'!AR140&amp;'Doc2'!AR142&amp;'Doc2'!AR140&amp;'Doc2'!AR142&amp;'Doc2'!AR139,'Doc2'!AO149)='Doc5'!AM2()</f>
        <v>1</v>
      </c>
    </row>
  </sheetData>
  <pageMargins left="0.7" right="0.7" top="0.75" bottom="0.75" header="0.3" footer="0.3"/>
</xm:macrosheet>
</file>

<file path=xl/macrosheets/intl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M4"/>
  <sheetViews>
    <sheetView showFormulas="1" workbookViewId="0"/>
  </sheetViews>
  <sheetFormatPr defaultColWidth="4.5703125" defaultRowHeight="15" x14ac:dyDescent="0.25"/>
  <cols>
    <col min="39" max="39" width="4.5703125" hidden="1" customWidth="1"/>
  </cols>
  <sheetData>
    <row r="4" spans="39:39" x14ac:dyDescent="0.25">
      <c r="AM4" s="2" t="b">
        <f>FORMULA.FILL('Doc2'!AQ136&amp;'Doc2'!AQ137&amp;'Doc2'!AQ138&amp;'Doc2'!AQ139&amp;'Doc2'!AQ140&amp;'Doc2'!AQ141&amp;'Doc2'!AQ142&amp;"2 ",'Doc2'!AQ154)='Doc2'!AO130()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37"/>
  <sheetViews>
    <sheetView tabSelected="1" zoomScaleNormal="100" workbookViewId="0">
      <selection activeCell="C2" sqref="C2"/>
    </sheetView>
  </sheetViews>
  <sheetFormatPr defaultRowHeight="15" x14ac:dyDescent="0.25"/>
  <cols>
    <col min="1" max="16384" width="9.140625" style="4"/>
  </cols>
  <sheetData>
    <row r="1" spans="1:14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</sheetData>
  <pageMargins left="0.7" right="0.7" top="0.75" bottom="0.75" header="0.3" footer="0.3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4</vt:i4>
      </vt:variant>
    </vt:vector>
  </HeadingPairs>
  <TitlesOfParts>
    <vt:vector size="5" baseType="lpstr">
      <vt:lpstr>Doc1</vt:lpstr>
      <vt:lpstr>Doc2</vt:lpstr>
      <vt:lpstr>Doc3</vt:lpstr>
      <vt:lpstr>Doc4</vt:lpstr>
      <vt:lpstr>Doc5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2021-06-17T14:40:53Z</dcterms:modified>
</cp:coreProperties>
</file>